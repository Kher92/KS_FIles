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D03DE90-9CA4-41F4-AE7C-3CD1BC37AA1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ynergie" sheetId="1" r:id="rId1"/>
    <sheet name="Syn012" sheetId="5" r:id="rId2"/>
    <sheet name="KGM" sheetId="4" r:id="rId3"/>
  </sheets>
  <externalReferences>
    <externalReference r:id="rId4"/>
    <externalReference r:id="rId5"/>
  </externalReferences>
  <calcPr calcId="191029"/>
</workbook>
</file>

<file path=xl/calcChain.xml><?xml version="1.0" encoding="utf-8"?>
<calcChain xmlns="http://schemas.openxmlformats.org/spreadsheetml/2006/main">
  <c r="AW81" i="5" l="1"/>
  <c r="AU81" i="5"/>
  <c r="AS81" i="5"/>
  <c r="AQ81" i="5"/>
  <c r="AO81" i="5"/>
  <c r="AM81" i="5"/>
  <c r="AK81" i="5"/>
  <c r="AI81" i="5"/>
  <c r="AG81" i="5"/>
  <c r="AE81" i="5"/>
  <c r="AC81" i="5"/>
  <c r="AA81" i="5"/>
  <c r="Y81" i="5"/>
  <c r="W81" i="5"/>
  <c r="U81" i="5"/>
  <c r="S81" i="5"/>
  <c r="Q81" i="5"/>
  <c r="O81" i="5"/>
  <c r="M81" i="5"/>
  <c r="K81" i="5"/>
  <c r="I81" i="5"/>
  <c r="G81" i="5"/>
  <c r="E81" i="5"/>
  <c r="C81" i="5"/>
  <c r="AX72" i="5"/>
  <c r="AX73" i="5" s="1"/>
  <c r="AX74" i="5" s="1"/>
  <c r="AX75" i="5" s="1"/>
  <c r="AX76" i="5" s="1"/>
  <c r="AX77" i="5" s="1"/>
  <c r="AX78" i="5" s="1"/>
  <c r="AX79" i="5" s="1"/>
  <c r="AX80" i="5" s="1"/>
  <c r="AX71" i="5"/>
  <c r="AV72" i="5"/>
  <c r="AV73" i="5" s="1"/>
  <c r="AV74" i="5" s="1"/>
  <c r="AV75" i="5" s="1"/>
  <c r="AV76" i="5" s="1"/>
  <c r="AV77" i="5" s="1"/>
  <c r="AV78" i="5" s="1"/>
  <c r="AV79" i="5" s="1"/>
  <c r="AV80" i="5" s="1"/>
  <c r="AV71" i="5"/>
  <c r="AT71" i="5"/>
  <c r="AT72" i="5" s="1"/>
  <c r="AT73" i="5" s="1"/>
  <c r="AT74" i="5" s="1"/>
  <c r="AT75" i="5" s="1"/>
  <c r="AT76" i="5" s="1"/>
  <c r="AT77" i="5" s="1"/>
  <c r="AT78" i="5" s="1"/>
  <c r="AT79" i="5" s="1"/>
  <c r="AT80" i="5" s="1"/>
  <c r="AR71" i="5"/>
  <c r="AR72" i="5" s="1"/>
  <c r="AR73" i="5" s="1"/>
  <c r="AR74" i="5" s="1"/>
  <c r="AR75" i="5" s="1"/>
  <c r="AR76" i="5" s="1"/>
  <c r="AR77" i="5" s="1"/>
  <c r="AR78" i="5" s="1"/>
  <c r="AR79" i="5" s="1"/>
  <c r="AR80" i="5" s="1"/>
  <c r="AP71" i="5"/>
  <c r="AP72" i="5" s="1"/>
  <c r="AP73" i="5" s="1"/>
  <c r="AP74" i="5" s="1"/>
  <c r="AP75" i="5" s="1"/>
  <c r="AP76" i="5" s="1"/>
  <c r="AP77" i="5" s="1"/>
  <c r="AP78" i="5" s="1"/>
  <c r="AP79" i="5" s="1"/>
  <c r="AP80" i="5" s="1"/>
  <c r="AN71" i="5"/>
  <c r="AN72" i="5" s="1"/>
  <c r="AN73" i="5" s="1"/>
  <c r="AN74" i="5" s="1"/>
  <c r="AN75" i="5" s="1"/>
  <c r="AN76" i="5" s="1"/>
  <c r="AN77" i="5" s="1"/>
  <c r="AN78" i="5" s="1"/>
  <c r="AN79" i="5" s="1"/>
  <c r="AN80" i="5" s="1"/>
  <c r="AL71" i="5"/>
  <c r="AL72" i="5" s="1"/>
  <c r="AL73" i="5" s="1"/>
  <c r="AL74" i="5" s="1"/>
  <c r="AL75" i="5" s="1"/>
  <c r="AL76" i="5" s="1"/>
  <c r="AL77" i="5" s="1"/>
  <c r="AL78" i="5" s="1"/>
  <c r="AL79" i="5" s="1"/>
  <c r="AL80" i="5" s="1"/>
  <c r="AJ72" i="5"/>
  <c r="AJ73" i="5" s="1"/>
  <c r="AJ74" i="5" s="1"/>
  <c r="AJ75" i="5" s="1"/>
  <c r="AJ76" i="5" s="1"/>
  <c r="AJ77" i="5" s="1"/>
  <c r="AJ78" i="5" s="1"/>
  <c r="AJ79" i="5" s="1"/>
  <c r="AJ80" i="5" s="1"/>
  <c r="AJ71" i="5"/>
  <c r="AH73" i="5"/>
  <c r="AH74" i="5"/>
  <c r="AH75" i="5" s="1"/>
  <c r="AH76" i="5" s="1"/>
  <c r="AH77" i="5" s="1"/>
  <c r="AH78" i="5" s="1"/>
  <c r="AH79" i="5" s="1"/>
  <c r="AH80" i="5" s="1"/>
  <c r="AH72" i="5"/>
  <c r="AH71" i="5"/>
  <c r="AF72" i="5"/>
  <c r="AF73" i="5" s="1"/>
  <c r="AF74" i="5" s="1"/>
  <c r="AF75" i="5" s="1"/>
  <c r="AF76" i="5" s="1"/>
  <c r="AF77" i="5" s="1"/>
  <c r="AF78" i="5" s="1"/>
  <c r="AF79" i="5" s="1"/>
  <c r="AF80" i="5" s="1"/>
  <c r="AF71" i="5"/>
  <c r="AD73" i="5"/>
  <c r="AD74" i="5"/>
  <c r="AD75" i="5" s="1"/>
  <c r="AD76" i="5" s="1"/>
  <c r="AD77" i="5" s="1"/>
  <c r="AD78" i="5" s="1"/>
  <c r="AD79" i="5" s="1"/>
  <c r="AD80" i="5" s="1"/>
  <c r="AD72" i="5"/>
  <c r="AD71" i="5"/>
  <c r="AB72" i="5"/>
  <c r="AB73" i="5" s="1"/>
  <c r="AB74" i="5" s="1"/>
  <c r="AB75" i="5" s="1"/>
  <c r="AB76" i="5" s="1"/>
  <c r="AB77" i="5" s="1"/>
  <c r="AB78" i="5" s="1"/>
  <c r="AB79" i="5" s="1"/>
  <c r="AB80" i="5" s="1"/>
  <c r="AB71" i="5"/>
  <c r="Z72" i="5"/>
  <c r="Z73" i="5" s="1"/>
  <c r="Z74" i="5" s="1"/>
  <c r="Z75" i="5" s="1"/>
  <c r="Z76" i="5" s="1"/>
  <c r="Z77" i="5" s="1"/>
  <c r="Z78" i="5" s="1"/>
  <c r="Z79" i="5" s="1"/>
  <c r="Z80" i="5" s="1"/>
  <c r="Z71" i="5"/>
  <c r="X71" i="5"/>
  <c r="X72" i="5" s="1"/>
  <c r="X73" i="5" s="1"/>
  <c r="X74" i="5" s="1"/>
  <c r="X75" i="5" s="1"/>
  <c r="X76" i="5" s="1"/>
  <c r="X77" i="5" s="1"/>
  <c r="X78" i="5" s="1"/>
  <c r="X79" i="5" s="1"/>
  <c r="X80" i="5" s="1"/>
  <c r="V72" i="5"/>
  <c r="V73" i="5" s="1"/>
  <c r="V74" i="5" s="1"/>
  <c r="V75" i="5" s="1"/>
  <c r="V76" i="5" s="1"/>
  <c r="V77" i="5" s="1"/>
  <c r="V78" i="5" s="1"/>
  <c r="V79" i="5" s="1"/>
  <c r="V80" i="5" s="1"/>
  <c r="V71" i="5"/>
  <c r="T71" i="5"/>
  <c r="T72" i="5" s="1"/>
  <c r="T73" i="5" s="1"/>
  <c r="T74" i="5" s="1"/>
  <c r="T75" i="5" s="1"/>
  <c r="T76" i="5" s="1"/>
  <c r="T77" i="5" s="1"/>
  <c r="T78" i="5" s="1"/>
  <c r="T79" i="5" s="1"/>
  <c r="T80" i="5" s="1"/>
  <c r="R72" i="5"/>
  <c r="R73" i="5" s="1"/>
  <c r="R74" i="5" s="1"/>
  <c r="R75" i="5" s="1"/>
  <c r="R76" i="5" s="1"/>
  <c r="R77" i="5" s="1"/>
  <c r="R78" i="5" s="1"/>
  <c r="R79" i="5" s="1"/>
  <c r="R80" i="5" s="1"/>
  <c r="R71" i="5"/>
  <c r="P71" i="5"/>
  <c r="P72" i="5" s="1"/>
  <c r="P73" i="5" s="1"/>
  <c r="P74" i="5" s="1"/>
  <c r="P75" i="5" s="1"/>
  <c r="P76" i="5" s="1"/>
  <c r="P77" i="5" s="1"/>
  <c r="P78" i="5" s="1"/>
  <c r="P79" i="5" s="1"/>
  <c r="P80" i="5" s="1"/>
  <c r="N72" i="5"/>
  <c r="N73" i="5" s="1"/>
  <c r="N74" i="5" s="1"/>
  <c r="N75" i="5" s="1"/>
  <c r="N76" i="5" s="1"/>
  <c r="N77" i="5" s="1"/>
  <c r="N78" i="5" s="1"/>
  <c r="N79" i="5" s="1"/>
  <c r="N80" i="5" s="1"/>
  <c r="N71" i="5"/>
  <c r="L71" i="5"/>
  <c r="L72" i="5" s="1"/>
  <c r="L73" i="5" s="1"/>
  <c r="L74" i="5" s="1"/>
  <c r="L75" i="5" s="1"/>
  <c r="L76" i="5" s="1"/>
  <c r="L77" i="5" s="1"/>
  <c r="L78" i="5" s="1"/>
  <c r="L79" i="5" s="1"/>
  <c r="L80" i="5" s="1"/>
  <c r="J72" i="5"/>
  <c r="J73" i="5" s="1"/>
  <c r="J74" i="5" s="1"/>
  <c r="J75" i="5" s="1"/>
  <c r="J76" i="5" s="1"/>
  <c r="J77" i="5" s="1"/>
  <c r="J78" i="5" s="1"/>
  <c r="J79" i="5" s="1"/>
  <c r="J80" i="5" s="1"/>
  <c r="J71" i="5"/>
  <c r="H71" i="5"/>
  <c r="H72" i="5" s="1"/>
  <c r="H73" i="5" s="1"/>
  <c r="H74" i="5" s="1"/>
  <c r="H75" i="5" s="1"/>
  <c r="H76" i="5" s="1"/>
  <c r="H77" i="5" s="1"/>
  <c r="H78" i="5" s="1"/>
  <c r="H79" i="5" s="1"/>
  <c r="H80" i="5" s="1"/>
  <c r="F72" i="5"/>
  <c r="F73" i="5" s="1"/>
  <c r="F74" i="5" s="1"/>
  <c r="F75" i="5" s="1"/>
  <c r="F76" i="5" s="1"/>
  <c r="F77" i="5" s="1"/>
  <c r="F78" i="5" s="1"/>
  <c r="F79" i="5" s="1"/>
  <c r="F80" i="5" s="1"/>
  <c r="F71" i="5"/>
  <c r="D71" i="5"/>
  <c r="D72" i="5" s="1"/>
  <c r="D73" i="5" s="1"/>
  <c r="D74" i="5" s="1"/>
  <c r="D75" i="5" s="1"/>
  <c r="D76" i="5" s="1"/>
  <c r="D77" i="5" s="1"/>
  <c r="D78" i="5" s="1"/>
  <c r="D79" i="5" s="1"/>
  <c r="D80" i="5" s="1"/>
  <c r="AW63" i="5"/>
  <c r="AU63" i="5"/>
  <c r="AS63" i="5"/>
  <c r="AQ63" i="5"/>
  <c r="AO63" i="5"/>
  <c r="AM63" i="5"/>
  <c r="AK63" i="5"/>
  <c r="AI63" i="5"/>
  <c r="AG63" i="5"/>
  <c r="AE63" i="5"/>
  <c r="AC63" i="5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AX53" i="5"/>
  <c r="AX54" i="5" s="1"/>
  <c r="AX55" i="5" s="1"/>
  <c r="AX56" i="5" s="1"/>
  <c r="AX57" i="5" s="1"/>
  <c r="AX58" i="5" s="1"/>
  <c r="AX59" i="5" s="1"/>
  <c r="AX60" i="5" s="1"/>
  <c r="AX61" i="5" s="1"/>
  <c r="AX62" i="5" s="1"/>
  <c r="AV53" i="5"/>
  <c r="AV54" i="5" s="1"/>
  <c r="AV55" i="5" s="1"/>
  <c r="AV56" i="5" s="1"/>
  <c r="AV57" i="5" s="1"/>
  <c r="AV58" i="5" s="1"/>
  <c r="AV59" i="5" s="1"/>
  <c r="AV60" i="5" s="1"/>
  <c r="AV61" i="5" s="1"/>
  <c r="AV62" i="5" s="1"/>
  <c r="AT53" i="5"/>
  <c r="AT54" i="5" s="1"/>
  <c r="AT55" i="5" s="1"/>
  <c r="AT56" i="5" s="1"/>
  <c r="AT57" i="5" s="1"/>
  <c r="AT58" i="5" s="1"/>
  <c r="AT59" i="5" s="1"/>
  <c r="AT60" i="5" s="1"/>
  <c r="AT61" i="5" s="1"/>
  <c r="AT62" i="5" s="1"/>
  <c r="AR53" i="5"/>
  <c r="AR54" i="5" s="1"/>
  <c r="AR55" i="5" s="1"/>
  <c r="AR56" i="5" s="1"/>
  <c r="AR57" i="5" s="1"/>
  <c r="AR58" i="5" s="1"/>
  <c r="AR59" i="5" s="1"/>
  <c r="AR60" i="5" s="1"/>
  <c r="AR61" i="5" s="1"/>
  <c r="AR62" i="5" s="1"/>
  <c r="AP53" i="5"/>
  <c r="AP54" i="5" s="1"/>
  <c r="AP55" i="5" s="1"/>
  <c r="AP56" i="5" s="1"/>
  <c r="AP57" i="5" s="1"/>
  <c r="AP58" i="5" s="1"/>
  <c r="AP59" i="5" s="1"/>
  <c r="AP60" i="5" s="1"/>
  <c r="AP61" i="5" s="1"/>
  <c r="AP62" i="5" s="1"/>
  <c r="AN53" i="5"/>
  <c r="AN54" i="5" s="1"/>
  <c r="AN55" i="5" s="1"/>
  <c r="AN56" i="5" s="1"/>
  <c r="AN57" i="5" s="1"/>
  <c r="AN58" i="5" s="1"/>
  <c r="AN59" i="5" s="1"/>
  <c r="AN60" i="5" s="1"/>
  <c r="AN61" i="5" s="1"/>
  <c r="AN62" i="5" s="1"/>
  <c r="AL53" i="5"/>
  <c r="AL54" i="5" s="1"/>
  <c r="AL55" i="5" s="1"/>
  <c r="AL56" i="5" s="1"/>
  <c r="AL57" i="5" s="1"/>
  <c r="AL58" i="5" s="1"/>
  <c r="AL59" i="5" s="1"/>
  <c r="AL60" i="5" s="1"/>
  <c r="AL61" i="5" s="1"/>
  <c r="AL62" i="5" s="1"/>
  <c r="AJ53" i="5"/>
  <c r="AJ54" i="5" s="1"/>
  <c r="AJ55" i="5" s="1"/>
  <c r="AJ56" i="5" s="1"/>
  <c r="AJ57" i="5" s="1"/>
  <c r="AJ58" i="5" s="1"/>
  <c r="AJ59" i="5" s="1"/>
  <c r="AJ60" i="5" s="1"/>
  <c r="AJ61" i="5" s="1"/>
  <c r="AJ62" i="5" s="1"/>
  <c r="AH53" i="5"/>
  <c r="AH54" i="5" s="1"/>
  <c r="AH55" i="5" s="1"/>
  <c r="AH56" i="5" s="1"/>
  <c r="AH57" i="5" s="1"/>
  <c r="AH58" i="5" s="1"/>
  <c r="AH59" i="5" s="1"/>
  <c r="AH60" i="5" s="1"/>
  <c r="AH61" i="5" s="1"/>
  <c r="AH62" i="5" s="1"/>
  <c r="AF53" i="5"/>
  <c r="AF54" i="5" s="1"/>
  <c r="AF55" i="5" s="1"/>
  <c r="AF56" i="5" s="1"/>
  <c r="AF57" i="5" s="1"/>
  <c r="AF58" i="5" s="1"/>
  <c r="AF59" i="5" s="1"/>
  <c r="AF60" i="5" s="1"/>
  <c r="AF61" i="5" s="1"/>
  <c r="AF62" i="5" s="1"/>
  <c r="AD53" i="5"/>
  <c r="AD54" i="5" s="1"/>
  <c r="AD55" i="5" s="1"/>
  <c r="AD56" i="5" s="1"/>
  <c r="AD57" i="5" s="1"/>
  <c r="AD58" i="5" s="1"/>
  <c r="AD59" i="5" s="1"/>
  <c r="AD60" i="5" s="1"/>
  <c r="AD61" i="5" s="1"/>
  <c r="AD62" i="5" s="1"/>
  <c r="AB53" i="5"/>
  <c r="AB54" i="5" s="1"/>
  <c r="AB55" i="5" s="1"/>
  <c r="AB56" i="5" s="1"/>
  <c r="AB57" i="5" s="1"/>
  <c r="AB58" i="5" s="1"/>
  <c r="AB59" i="5" s="1"/>
  <c r="AB60" i="5" s="1"/>
  <c r="AB61" i="5" s="1"/>
  <c r="AB62" i="5" s="1"/>
  <c r="Z53" i="5"/>
  <c r="Z54" i="5" s="1"/>
  <c r="Z55" i="5" s="1"/>
  <c r="Z56" i="5" s="1"/>
  <c r="Z57" i="5" s="1"/>
  <c r="Z58" i="5" s="1"/>
  <c r="Z59" i="5" s="1"/>
  <c r="Z60" i="5" s="1"/>
  <c r="Z61" i="5" s="1"/>
  <c r="Z62" i="5" s="1"/>
  <c r="X53" i="5"/>
  <c r="X54" i="5" s="1"/>
  <c r="X55" i="5" s="1"/>
  <c r="X56" i="5" s="1"/>
  <c r="X57" i="5" s="1"/>
  <c r="X58" i="5" s="1"/>
  <c r="X59" i="5" s="1"/>
  <c r="X60" i="5" s="1"/>
  <c r="X61" i="5" s="1"/>
  <c r="X62" i="5" s="1"/>
  <c r="V53" i="5"/>
  <c r="V54" i="5" s="1"/>
  <c r="V55" i="5" s="1"/>
  <c r="V56" i="5" s="1"/>
  <c r="V57" i="5" s="1"/>
  <c r="V58" i="5" s="1"/>
  <c r="V59" i="5" s="1"/>
  <c r="V60" i="5" s="1"/>
  <c r="V61" i="5" s="1"/>
  <c r="V62" i="5" s="1"/>
  <c r="T53" i="5"/>
  <c r="T54" i="5" s="1"/>
  <c r="T55" i="5" s="1"/>
  <c r="T56" i="5" s="1"/>
  <c r="T57" i="5" s="1"/>
  <c r="T58" i="5" s="1"/>
  <c r="T59" i="5" s="1"/>
  <c r="T60" i="5" s="1"/>
  <c r="T61" i="5" s="1"/>
  <c r="T62" i="5" s="1"/>
  <c r="R53" i="5"/>
  <c r="R54" i="5" s="1"/>
  <c r="R55" i="5" s="1"/>
  <c r="R56" i="5" s="1"/>
  <c r="R57" i="5" s="1"/>
  <c r="R58" i="5" s="1"/>
  <c r="R59" i="5" s="1"/>
  <c r="R60" i="5" s="1"/>
  <c r="R61" i="5" s="1"/>
  <c r="R62" i="5" s="1"/>
  <c r="P53" i="5"/>
  <c r="P54" i="5" s="1"/>
  <c r="P55" i="5" s="1"/>
  <c r="P56" i="5" s="1"/>
  <c r="P57" i="5" s="1"/>
  <c r="P58" i="5" s="1"/>
  <c r="P59" i="5" s="1"/>
  <c r="P60" i="5" s="1"/>
  <c r="P61" i="5" s="1"/>
  <c r="P62" i="5" s="1"/>
  <c r="N53" i="5"/>
  <c r="N54" i="5" s="1"/>
  <c r="N55" i="5" s="1"/>
  <c r="N56" i="5" s="1"/>
  <c r="N57" i="5" s="1"/>
  <c r="N58" i="5" s="1"/>
  <c r="N59" i="5" s="1"/>
  <c r="N60" i="5" s="1"/>
  <c r="N61" i="5" s="1"/>
  <c r="N62" i="5" s="1"/>
  <c r="L53" i="5"/>
  <c r="L54" i="5" s="1"/>
  <c r="L55" i="5" s="1"/>
  <c r="L56" i="5" s="1"/>
  <c r="L57" i="5" s="1"/>
  <c r="L58" i="5" s="1"/>
  <c r="L59" i="5" s="1"/>
  <c r="L60" i="5" s="1"/>
  <c r="L61" i="5" s="1"/>
  <c r="L62" i="5" s="1"/>
  <c r="J53" i="5"/>
  <c r="J54" i="5" s="1"/>
  <c r="J55" i="5" s="1"/>
  <c r="J56" i="5" s="1"/>
  <c r="J57" i="5" s="1"/>
  <c r="J58" i="5" s="1"/>
  <c r="J59" i="5" s="1"/>
  <c r="J60" i="5" s="1"/>
  <c r="J61" i="5" s="1"/>
  <c r="J62" i="5" s="1"/>
  <c r="H53" i="5"/>
  <c r="H54" i="5" s="1"/>
  <c r="H55" i="5" s="1"/>
  <c r="H56" i="5" s="1"/>
  <c r="H57" i="5" s="1"/>
  <c r="H58" i="5" s="1"/>
  <c r="H59" i="5" s="1"/>
  <c r="H60" i="5" s="1"/>
  <c r="H61" i="5" s="1"/>
  <c r="H62" i="5" s="1"/>
  <c r="F53" i="5"/>
  <c r="F54" i="5" s="1"/>
  <c r="F55" i="5" s="1"/>
  <c r="F56" i="5" s="1"/>
  <c r="F57" i="5" s="1"/>
  <c r="F58" i="5" s="1"/>
  <c r="F59" i="5" s="1"/>
  <c r="F60" i="5" s="1"/>
  <c r="F61" i="5" s="1"/>
  <c r="F62" i="5" s="1"/>
  <c r="D53" i="5"/>
  <c r="D54" i="5" s="1"/>
  <c r="D55" i="5" s="1"/>
  <c r="D56" i="5" s="1"/>
  <c r="D57" i="5" s="1"/>
  <c r="D58" i="5" s="1"/>
  <c r="D59" i="5" s="1"/>
  <c r="D60" i="5" s="1"/>
  <c r="D61" i="5" s="1"/>
  <c r="D62" i="5" s="1"/>
  <c r="AW43" i="5"/>
  <c r="AU43" i="5"/>
  <c r="AS43" i="5"/>
  <c r="AQ43" i="5"/>
  <c r="AO43" i="5"/>
  <c r="AM43" i="5"/>
  <c r="AK43" i="5"/>
  <c r="AI43" i="5"/>
  <c r="AG43" i="5"/>
  <c r="AE43" i="5"/>
  <c r="AC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X33" i="5"/>
  <c r="AX34" i="5" s="1"/>
  <c r="AX35" i="5" s="1"/>
  <c r="AX36" i="5" s="1"/>
  <c r="AX37" i="5" s="1"/>
  <c r="AX38" i="5" s="1"/>
  <c r="AX39" i="5" s="1"/>
  <c r="AX40" i="5" s="1"/>
  <c r="AX41" i="5" s="1"/>
  <c r="AX42" i="5" s="1"/>
  <c r="AV33" i="5"/>
  <c r="AV34" i="5" s="1"/>
  <c r="AV35" i="5" s="1"/>
  <c r="AV36" i="5" s="1"/>
  <c r="AV37" i="5" s="1"/>
  <c r="AV38" i="5" s="1"/>
  <c r="AV39" i="5" s="1"/>
  <c r="AV40" i="5" s="1"/>
  <c r="AV41" i="5" s="1"/>
  <c r="AV42" i="5" s="1"/>
  <c r="AT33" i="5"/>
  <c r="AT34" i="5" s="1"/>
  <c r="AT35" i="5" s="1"/>
  <c r="AT36" i="5" s="1"/>
  <c r="AT37" i="5" s="1"/>
  <c r="AT38" i="5" s="1"/>
  <c r="AT39" i="5" s="1"/>
  <c r="AT40" i="5" s="1"/>
  <c r="AT41" i="5" s="1"/>
  <c r="AT42" i="5" s="1"/>
  <c r="AR33" i="5"/>
  <c r="AR34" i="5" s="1"/>
  <c r="AR35" i="5" s="1"/>
  <c r="AR36" i="5" s="1"/>
  <c r="AR37" i="5" s="1"/>
  <c r="AR38" i="5" s="1"/>
  <c r="AR39" i="5" s="1"/>
  <c r="AR40" i="5" s="1"/>
  <c r="AR41" i="5" s="1"/>
  <c r="AR42" i="5" s="1"/>
  <c r="AP33" i="5"/>
  <c r="AP34" i="5" s="1"/>
  <c r="AP35" i="5" s="1"/>
  <c r="AP36" i="5" s="1"/>
  <c r="AP37" i="5" s="1"/>
  <c r="AP38" i="5" s="1"/>
  <c r="AP39" i="5" s="1"/>
  <c r="AP40" i="5" s="1"/>
  <c r="AP41" i="5" s="1"/>
  <c r="AP42" i="5" s="1"/>
  <c r="AN33" i="5"/>
  <c r="AN34" i="5" s="1"/>
  <c r="AN35" i="5" s="1"/>
  <c r="AN36" i="5" s="1"/>
  <c r="AN37" i="5" s="1"/>
  <c r="AN38" i="5" s="1"/>
  <c r="AN39" i="5" s="1"/>
  <c r="AN40" i="5" s="1"/>
  <c r="AN41" i="5" s="1"/>
  <c r="AN42" i="5" s="1"/>
  <c r="AL33" i="5"/>
  <c r="AL34" i="5" s="1"/>
  <c r="AL35" i="5" s="1"/>
  <c r="AL36" i="5" s="1"/>
  <c r="AL37" i="5" s="1"/>
  <c r="AL38" i="5" s="1"/>
  <c r="AL39" i="5" s="1"/>
  <c r="AL40" i="5" s="1"/>
  <c r="AL41" i="5" s="1"/>
  <c r="AL42" i="5" s="1"/>
  <c r="AJ33" i="5"/>
  <c r="AJ34" i="5" s="1"/>
  <c r="AJ35" i="5" s="1"/>
  <c r="AJ36" i="5" s="1"/>
  <c r="AJ37" i="5" s="1"/>
  <c r="AJ38" i="5" s="1"/>
  <c r="AJ39" i="5" s="1"/>
  <c r="AJ40" i="5" s="1"/>
  <c r="AJ41" i="5" s="1"/>
  <c r="AJ42" i="5" s="1"/>
  <c r="AH33" i="5"/>
  <c r="AH34" i="5" s="1"/>
  <c r="AH35" i="5" s="1"/>
  <c r="AH36" i="5" s="1"/>
  <c r="AH37" i="5" s="1"/>
  <c r="AH38" i="5" s="1"/>
  <c r="AH39" i="5" s="1"/>
  <c r="AH40" i="5" s="1"/>
  <c r="AH41" i="5" s="1"/>
  <c r="AH42" i="5" s="1"/>
  <c r="AF33" i="5"/>
  <c r="AF34" i="5" s="1"/>
  <c r="AF35" i="5" s="1"/>
  <c r="AF36" i="5" s="1"/>
  <c r="AF37" i="5" s="1"/>
  <c r="AF38" i="5" s="1"/>
  <c r="AF39" i="5" s="1"/>
  <c r="AF40" i="5" s="1"/>
  <c r="AF41" i="5" s="1"/>
  <c r="AF42" i="5" s="1"/>
  <c r="AD33" i="5"/>
  <c r="AD34" i="5" s="1"/>
  <c r="AD35" i="5" s="1"/>
  <c r="AD36" i="5" s="1"/>
  <c r="AD37" i="5" s="1"/>
  <c r="AD38" i="5" s="1"/>
  <c r="AD39" i="5" s="1"/>
  <c r="AD40" i="5" s="1"/>
  <c r="AD41" i="5" s="1"/>
  <c r="AD42" i="5" s="1"/>
  <c r="AB33" i="5"/>
  <c r="AB34" i="5" s="1"/>
  <c r="AB35" i="5" s="1"/>
  <c r="AB36" i="5" s="1"/>
  <c r="AB37" i="5" s="1"/>
  <c r="AB38" i="5" s="1"/>
  <c r="AB39" i="5" s="1"/>
  <c r="AB40" i="5" s="1"/>
  <c r="AB41" i="5" s="1"/>
  <c r="AB42" i="5" s="1"/>
  <c r="Z33" i="5"/>
  <c r="Z34" i="5" s="1"/>
  <c r="Z35" i="5" s="1"/>
  <c r="Z36" i="5" s="1"/>
  <c r="Z37" i="5" s="1"/>
  <c r="Z38" i="5" s="1"/>
  <c r="Z39" i="5" s="1"/>
  <c r="Z40" i="5" s="1"/>
  <c r="Z41" i="5" s="1"/>
  <c r="Z42" i="5" s="1"/>
  <c r="X33" i="5"/>
  <c r="X34" i="5" s="1"/>
  <c r="X35" i="5" s="1"/>
  <c r="X36" i="5" s="1"/>
  <c r="X37" i="5" s="1"/>
  <c r="X38" i="5" s="1"/>
  <c r="X39" i="5" s="1"/>
  <c r="X40" i="5" s="1"/>
  <c r="X41" i="5" s="1"/>
  <c r="X42" i="5" s="1"/>
  <c r="V33" i="5"/>
  <c r="V34" i="5" s="1"/>
  <c r="V35" i="5" s="1"/>
  <c r="V36" i="5" s="1"/>
  <c r="V37" i="5" s="1"/>
  <c r="V38" i="5" s="1"/>
  <c r="V39" i="5" s="1"/>
  <c r="V40" i="5" s="1"/>
  <c r="V41" i="5" s="1"/>
  <c r="V42" i="5" s="1"/>
  <c r="T33" i="5"/>
  <c r="T34" i="5" s="1"/>
  <c r="T35" i="5" s="1"/>
  <c r="T36" i="5" s="1"/>
  <c r="T37" i="5" s="1"/>
  <c r="T38" i="5" s="1"/>
  <c r="T39" i="5" s="1"/>
  <c r="T40" i="5" s="1"/>
  <c r="T41" i="5" s="1"/>
  <c r="T42" i="5" s="1"/>
  <c r="R33" i="5"/>
  <c r="R34" i="5" s="1"/>
  <c r="R35" i="5" s="1"/>
  <c r="R36" i="5" s="1"/>
  <c r="R37" i="5" s="1"/>
  <c r="R38" i="5" s="1"/>
  <c r="R39" i="5" s="1"/>
  <c r="R40" i="5" s="1"/>
  <c r="R41" i="5" s="1"/>
  <c r="R42" i="5" s="1"/>
  <c r="P33" i="5"/>
  <c r="P34" i="5" s="1"/>
  <c r="P35" i="5" s="1"/>
  <c r="P36" i="5" s="1"/>
  <c r="P37" i="5" s="1"/>
  <c r="P38" i="5" s="1"/>
  <c r="P39" i="5" s="1"/>
  <c r="P40" i="5" s="1"/>
  <c r="P41" i="5" s="1"/>
  <c r="P42" i="5" s="1"/>
  <c r="N33" i="5"/>
  <c r="N34" i="5" s="1"/>
  <c r="N35" i="5" s="1"/>
  <c r="N36" i="5" s="1"/>
  <c r="N37" i="5" s="1"/>
  <c r="N38" i="5" s="1"/>
  <c r="N39" i="5" s="1"/>
  <c r="N40" i="5" s="1"/>
  <c r="N41" i="5" s="1"/>
  <c r="N42" i="5" s="1"/>
  <c r="L33" i="5"/>
  <c r="L34" i="5" s="1"/>
  <c r="L35" i="5" s="1"/>
  <c r="L36" i="5" s="1"/>
  <c r="L37" i="5" s="1"/>
  <c r="L38" i="5" s="1"/>
  <c r="L39" i="5" s="1"/>
  <c r="L40" i="5" s="1"/>
  <c r="L41" i="5" s="1"/>
  <c r="L42" i="5" s="1"/>
  <c r="J33" i="5"/>
  <c r="J34" i="5" s="1"/>
  <c r="J35" i="5" s="1"/>
  <c r="J36" i="5" s="1"/>
  <c r="J37" i="5" s="1"/>
  <c r="J38" i="5" s="1"/>
  <c r="J39" i="5" s="1"/>
  <c r="J40" i="5" s="1"/>
  <c r="J41" i="5" s="1"/>
  <c r="J42" i="5" s="1"/>
  <c r="H33" i="5"/>
  <c r="H34" i="5" s="1"/>
  <c r="H35" i="5" s="1"/>
  <c r="H36" i="5" s="1"/>
  <c r="H37" i="5" s="1"/>
  <c r="H38" i="5" s="1"/>
  <c r="H39" i="5" s="1"/>
  <c r="H40" i="5" s="1"/>
  <c r="H41" i="5" s="1"/>
  <c r="H42" i="5" s="1"/>
  <c r="F33" i="5"/>
  <c r="F34" i="5" s="1"/>
  <c r="F35" i="5" s="1"/>
  <c r="F36" i="5" s="1"/>
  <c r="F37" i="5" s="1"/>
  <c r="F38" i="5" s="1"/>
  <c r="F39" i="5" s="1"/>
  <c r="F40" i="5" s="1"/>
  <c r="F41" i="5" s="1"/>
  <c r="F42" i="5" s="1"/>
  <c r="D33" i="5"/>
  <c r="D34" i="5" s="1"/>
  <c r="D35" i="5" s="1"/>
  <c r="D36" i="5" s="1"/>
  <c r="D37" i="5" s="1"/>
  <c r="D38" i="5" s="1"/>
  <c r="D39" i="5" s="1"/>
  <c r="D40" i="5" s="1"/>
  <c r="D41" i="5" s="1"/>
  <c r="D42" i="5" s="1"/>
  <c r="AW25" i="5"/>
  <c r="AU25" i="5"/>
  <c r="AS25" i="5"/>
  <c r="AQ25" i="5"/>
  <c r="AO25" i="5"/>
  <c r="AM25" i="5"/>
  <c r="AK25" i="5"/>
  <c r="AI25" i="5"/>
  <c r="AG25" i="5"/>
  <c r="AE25" i="5"/>
  <c r="AC25" i="5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X15" i="5"/>
  <c r="AX16" i="5" s="1"/>
  <c r="AX17" i="5" s="1"/>
  <c r="AX18" i="5" s="1"/>
  <c r="AX19" i="5" s="1"/>
  <c r="AX20" i="5" s="1"/>
  <c r="AX21" i="5" s="1"/>
  <c r="AX22" i="5" s="1"/>
  <c r="AX23" i="5" s="1"/>
  <c r="AX24" i="5" s="1"/>
  <c r="AV15" i="5"/>
  <c r="AV16" i="5" s="1"/>
  <c r="AV17" i="5" s="1"/>
  <c r="AV18" i="5" s="1"/>
  <c r="AV19" i="5" s="1"/>
  <c r="AV20" i="5" s="1"/>
  <c r="AV21" i="5" s="1"/>
  <c r="AV22" i="5" s="1"/>
  <c r="AV23" i="5" s="1"/>
  <c r="AV24" i="5" s="1"/>
  <c r="AT15" i="5"/>
  <c r="AT16" i="5" s="1"/>
  <c r="AT17" i="5" s="1"/>
  <c r="AT18" i="5" s="1"/>
  <c r="AT19" i="5" s="1"/>
  <c r="AT20" i="5" s="1"/>
  <c r="AT21" i="5" s="1"/>
  <c r="AT22" i="5" s="1"/>
  <c r="AT23" i="5" s="1"/>
  <c r="AT24" i="5" s="1"/>
  <c r="AR15" i="5"/>
  <c r="AR16" i="5" s="1"/>
  <c r="AR17" i="5" s="1"/>
  <c r="AR18" i="5" s="1"/>
  <c r="AR19" i="5" s="1"/>
  <c r="AR20" i="5" s="1"/>
  <c r="AR21" i="5" s="1"/>
  <c r="AR22" i="5" s="1"/>
  <c r="AR23" i="5" s="1"/>
  <c r="AR24" i="5" s="1"/>
  <c r="AP15" i="5"/>
  <c r="AP16" i="5" s="1"/>
  <c r="AP17" i="5" s="1"/>
  <c r="AP18" i="5" s="1"/>
  <c r="AP19" i="5" s="1"/>
  <c r="AP20" i="5" s="1"/>
  <c r="AP21" i="5" s="1"/>
  <c r="AP22" i="5" s="1"/>
  <c r="AP23" i="5" s="1"/>
  <c r="AP24" i="5" s="1"/>
  <c r="AN15" i="5"/>
  <c r="AN16" i="5" s="1"/>
  <c r="AN17" i="5" s="1"/>
  <c r="AN18" i="5" s="1"/>
  <c r="AN19" i="5" s="1"/>
  <c r="AN20" i="5" s="1"/>
  <c r="AN21" i="5" s="1"/>
  <c r="AN22" i="5" s="1"/>
  <c r="AN23" i="5" s="1"/>
  <c r="AN24" i="5" s="1"/>
  <c r="AL15" i="5"/>
  <c r="AL16" i="5" s="1"/>
  <c r="AL17" i="5" s="1"/>
  <c r="AL18" i="5" s="1"/>
  <c r="AL19" i="5" s="1"/>
  <c r="AL20" i="5" s="1"/>
  <c r="AL21" i="5" s="1"/>
  <c r="AL22" i="5" s="1"/>
  <c r="AL23" i="5" s="1"/>
  <c r="AL24" i="5" s="1"/>
  <c r="AJ15" i="5"/>
  <c r="AJ16" i="5" s="1"/>
  <c r="AJ17" i="5" s="1"/>
  <c r="AJ18" i="5" s="1"/>
  <c r="AJ19" i="5" s="1"/>
  <c r="AJ20" i="5" s="1"/>
  <c r="AJ21" i="5" s="1"/>
  <c r="AJ22" i="5" s="1"/>
  <c r="AJ23" i="5" s="1"/>
  <c r="AJ24" i="5" s="1"/>
  <c r="AH15" i="5"/>
  <c r="AH16" i="5" s="1"/>
  <c r="AH17" i="5" s="1"/>
  <c r="AH18" i="5" s="1"/>
  <c r="AH19" i="5" s="1"/>
  <c r="AH20" i="5" s="1"/>
  <c r="AH21" i="5" s="1"/>
  <c r="AH22" i="5" s="1"/>
  <c r="AH23" i="5" s="1"/>
  <c r="AH24" i="5" s="1"/>
  <c r="AF15" i="5"/>
  <c r="AF16" i="5" s="1"/>
  <c r="AF17" i="5" s="1"/>
  <c r="AF18" i="5" s="1"/>
  <c r="AF19" i="5" s="1"/>
  <c r="AF20" i="5" s="1"/>
  <c r="AF21" i="5" s="1"/>
  <c r="AF22" i="5" s="1"/>
  <c r="AF23" i="5" s="1"/>
  <c r="AF24" i="5" s="1"/>
  <c r="AD15" i="5"/>
  <c r="AD16" i="5" s="1"/>
  <c r="AD17" i="5" s="1"/>
  <c r="AD18" i="5" s="1"/>
  <c r="AD19" i="5" s="1"/>
  <c r="AD20" i="5" s="1"/>
  <c r="AD21" i="5" s="1"/>
  <c r="AD22" i="5" s="1"/>
  <c r="AD23" i="5" s="1"/>
  <c r="AD24" i="5" s="1"/>
  <c r="AB15" i="5"/>
  <c r="AB16" i="5" s="1"/>
  <c r="AB17" i="5" s="1"/>
  <c r="AB18" i="5" s="1"/>
  <c r="AB19" i="5" s="1"/>
  <c r="AB20" i="5" s="1"/>
  <c r="AB21" i="5" s="1"/>
  <c r="AB22" i="5" s="1"/>
  <c r="AB23" i="5" s="1"/>
  <c r="AB24" i="5" s="1"/>
  <c r="Z15" i="5"/>
  <c r="Z16" i="5" s="1"/>
  <c r="Z17" i="5" s="1"/>
  <c r="Z18" i="5" s="1"/>
  <c r="Z19" i="5" s="1"/>
  <c r="Z20" i="5" s="1"/>
  <c r="Z21" i="5" s="1"/>
  <c r="Z22" i="5" s="1"/>
  <c r="Z23" i="5" s="1"/>
  <c r="Z24" i="5" s="1"/>
  <c r="X15" i="5"/>
  <c r="X16" i="5" s="1"/>
  <c r="X17" i="5" s="1"/>
  <c r="X18" i="5" s="1"/>
  <c r="X19" i="5" s="1"/>
  <c r="X20" i="5" s="1"/>
  <c r="X21" i="5" s="1"/>
  <c r="X22" i="5" s="1"/>
  <c r="X23" i="5" s="1"/>
  <c r="X24" i="5" s="1"/>
  <c r="V15" i="5"/>
  <c r="V16" i="5" s="1"/>
  <c r="V17" i="5" s="1"/>
  <c r="V18" i="5" s="1"/>
  <c r="V19" i="5" s="1"/>
  <c r="V20" i="5" s="1"/>
  <c r="V21" i="5" s="1"/>
  <c r="V22" i="5" s="1"/>
  <c r="V23" i="5" s="1"/>
  <c r="V24" i="5" s="1"/>
  <c r="T15" i="5"/>
  <c r="T16" i="5" s="1"/>
  <c r="T17" i="5" s="1"/>
  <c r="T18" i="5" s="1"/>
  <c r="T19" i="5" s="1"/>
  <c r="T20" i="5" s="1"/>
  <c r="T21" i="5" s="1"/>
  <c r="T22" i="5" s="1"/>
  <c r="T23" i="5" s="1"/>
  <c r="T24" i="5" s="1"/>
  <c r="R15" i="5"/>
  <c r="R16" i="5" s="1"/>
  <c r="R17" i="5" s="1"/>
  <c r="R18" i="5" s="1"/>
  <c r="R19" i="5" s="1"/>
  <c r="R20" i="5" s="1"/>
  <c r="R21" i="5" s="1"/>
  <c r="R22" i="5" s="1"/>
  <c r="R23" i="5" s="1"/>
  <c r="R24" i="5" s="1"/>
  <c r="P15" i="5"/>
  <c r="P16" i="5" s="1"/>
  <c r="P17" i="5" s="1"/>
  <c r="P18" i="5" s="1"/>
  <c r="P19" i="5" s="1"/>
  <c r="P20" i="5" s="1"/>
  <c r="P21" i="5" s="1"/>
  <c r="P22" i="5" s="1"/>
  <c r="P23" i="5" s="1"/>
  <c r="P24" i="5" s="1"/>
  <c r="N15" i="5"/>
  <c r="N16" i="5" s="1"/>
  <c r="N17" i="5" s="1"/>
  <c r="N18" i="5" s="1"/>
  <c r="N19" i="5" s="1"/>
  <c r="N20" i="5" s="1"/>
  <c r="N21" i="5" s="1"/>
  <c r="N22" i="5" s="1"/>
  <c r="N23" i="5" s="1"/>
  <c r="N24" i="5" s="1"/>
  <c r="L15" i="5"/>
  <c r="L16" i="5" s="1"/>
  <c r="L17" i="5" s="1"/>
  <c r="L18" i="5" s="1"/>
  <c r="L19" i="5" s="1"/>
  <c r="L20" i="5" s="1"/>
  <c r="L21" i="5" s="1"/>
  <c r="L22" i="5" s="1"/>
  <c r="L23" i="5" s="1"/>
  <c r="L24" i="5" s="1"/>
  <c r="J15" i="5"/>
  <c r="J16" i="5" s="1"/>
  <c r="J17" i="5" s="1"/>
  <c r="J18" i="5" s="1"/>
  <c r="J19" i="5" s="1"/>
  <c r="J20" i="5" s="1"/>
  <c r="J21" i="5" s="1"/>
  <c r="J22" i="5" s="1"/>
  <c r="J23" i="5" s="1"/>
  <c r="J24" i="5" s="1"/>
  <c r="H15" i="5"/>
  <c r="H16" i="5" s="1"/>
  <c r="H17" i="5" s="1"/>
  <c r="H18" i="5" s="1"/>
  <c r="H19" i="5" s="1"/>
  <c r="H20" i="5" s="1"/>
  <c r="H21" i="5" s="1"/>
  <c r="H22" i="5" s="1"/>
  <c r="H23" i="5" s="1"/>
  <c r="H24" i="5" s="1"/>
  <c r="F15" i="5"/>
  <c r="F16" i="5" s="1"/>
  <c r="F17" i="5" s="1"/>
  <c r="F18" i="5" s="1"/>
  <c r="F19" i="5" s="1"/>
  <c r="F20" i="5" s="1"/>
  <c r="F21" i="5" s="1"/>
  <c r="F22" i="5" s="1"/>
  <c r="F23" i="5" s="1"/>
  <c r="F24" i="5" s="1"/>
  <c r="D15" i="5"/>
  <c r="D16" i="5" s="1"/>
  <c r="D17" i="5" s="1"/>
  <c r="D18" i="5" s="1"/>
  <c r="D19" i="5" s="1"/>
  <c r="D20" i="5" s="1"/>
  <c r="D21" i="5" s="1"/>
  <c r="D22" i="5" s="1"/>
  <c r="D23" i="5" s="1"/>
  <c r="D24" i="5" s="1"/>
  <c r="AW81" i="1"/>
  <c r="AU81" i="1"/>
  <c r="AS81" i="1"/>
  <c r="AQ81" i="1"/>
  <c r="AO81" i="1"/>
  <c r="AM81" i="1"/>
  <c r="AK81" i="1"/>
  <c r="AI81" i="1"/>
  <c r="AG81" i="1"/>
  <c r="AE81" i="1"/>
  <c r="AC81" i="1"/>
  <c r="AA81" i="1"/>
  <c r="Y81" i="1"/>
  <c r="W81" i="1"/>
  <c r="U81" i="1"/>
  <c r="S81" i="1"/>
  <c r="Q81" i="1"/>
  <c r="O81" i="1"/>
  <c r="M81" i="1"/>
  <c r="K81" i="1"/>
  <c r="I81" i="1"/>
  <c r="G81" i="1"/>
  <c r="E81" i="1"/>
  <c r="C81" i="1"/>
  <c r="AX71" i="1"/>
  <c r="AX72" i="1" s="1"/>
  <c r="AX73" i="1" s="1"/>
  <c r="AX74" i="1" s="1"/>
  <c r="AX75" i="1" s="1"/>
  <c r="AX76" i="1" s="1"/>
  <c r="AX77" i="1" s="1"/>
  <c r="AX78" i="1" s="1"/>
  <c r="AX79" i="1" s="1"/>
  <c r="AX80" i="1" s="1"/>
  <c r="AV71" i="1"/>
  <c r="AV72" i="1" s="1"/>
  <c r="AV73" i="1" s="1"/>
  <c r="AV74" i="1" s="1"/>
  <c r="AV75" i="1" s="1"/>
  <c r="AV76" i="1" s="1"/>
  <c r="AV77" i="1" s="1"/>
  <c r="AV78" i="1" s="1"/>
  <c r="AV79" i="1" s="1"/>
  <c r="AV80" i="1" s="1"/>
  <c r="AT71" i="1"/>
  <c r="AT72" i="1" s="1"/>
  <c r="AT73" i="1" s="1"/>
  <c r="AT74" i="1" s="1"/>
  <c r="AT75" i="1" s="1"/>
  <c r="AT76" i="1" s="1"/>
  <c r="AT77" i="1" s="1"/>
  <c r="AT78" i="1" s="1"/>
  <c r="AT79" i="1" s="1"/>
  <c r="AT80" i="1" s="1"/>
  <c r="AR72" i="1"/>
  <c r="AR73" i="1" s="1"/>
  <c r="AR74" i="1" s="1"/>
  <c r="AR75" i="1" s="1"/>
  <c r="AR76" i="1" s="1"/>
  <c r="AR77" i="1" s="1"/>
  <c r="AR78" i="1" s="1"/>
  <c r="AR79" i="1" s="1"/>
  <c r="AR80" i="1" s="1"/>
  <c r="AR71" i="1"/>
  <c r="AP71" i="1"/>
  <c r="AP72" i="1" s="1"/>
  <c r="AP73" i="1" s="1"/>
  <c r="AP74" i="1" s="1"/>
  <c r="AP75" i="1" s="1"/>
  <c r="AP76" i="1" s="1"/>
  <c r="AP77" i="1" s="1"/>
  <c r="AP78" i="1" s="1"/>
  <c r="AP79" i="1" s="1"/>
  <c r="AP80" i="1" s="1"/>
  <c r="AN71" i="1"/>
  <c r="AN72" i="1" s="1"/>
  <c r="AN73" i="1" s="1"/>
  <c r="AN74" i="1" s="1"/>
  <c r="AN75" i="1" s="1"/>
  <c r="AN76" i="1" s="1"/>
  <c r="AN77" i="1" s="1"/>
  <c r="AN78" i="1" s="1"/>
  <c r="AN79" i="1" s="1"/>
  <c r="AN80" i="1" s="1"/>
  <c r="AL72" i="1"/>
  <c r="AL73" i="1" s="1"/>
  <c r="AL74" i="1" s="1"/>
  <c r="AL75" i="1" s="1"/>
  <c r="AL76" i="1" s="1"/>
  <c r="AL77" i="1" s="1"/>
  <c r="AL78" i="1" s="1"/>
  <c r="AL79" i="1" s="1"/>
  <c r="AL80" i="1" s="1"/>
  <c r="AL71" i="1"/>
  <c r="AJ73" i="1"/>
  <c r="AJ74" i="1"/>
  <c r="AJ75" i="1" s="1"/>
  <c r="AJ76" i="1" s="1"/>
  <c r="AJ77" i="1" s="1"/>
  <c r="AJ78" i="1" s="1"/>
  <c r="AJ79" i="1" s="1"/>
  <c r="AJ80" i="1" s="1"/>
  <c r="AJ72" i="1"/>
  <c r="AJ71" i="1"/>
  <c r="AH71" i="1"/>
  <c r="AH72" i="1" s="1"/>
  <c r="AH73" i="1" s="1"/>
  <c r="AH74" i="1" s="1"/>
  <c r="AH75" i="1" s="1"/>
  <c r="AH76" i="1" s="1"/>
  <c r="AH77" i="1" s="1"/>
  <c r="AH78" i="1" s="1"/>
  <c r="AH79" i="1" s="1"/>
  <c r="AH80" i="1" s="1"/>
  <c r="AF72" i="1"/>
  <c r="AF73" i="1" s="1"/>
  <c r="AF74" i="1" s="1"/>
  <c r="AF75" i="1" s="1"/>
  <c r="AF76" i="1" s="1"/>
  <c r="AF77" i="1" s="1"/>
  <c r="AF78" i="1" s="1"/>
  <c r="AF79" i="1" s="1"/>
  <c r="AF80" i="1" s="1"/>
  <c r="AF71" i="1"/>
  <c r="AD72" i="1"/>
  <c r="AD73" i="1" s="1"/>
  <c r="AD74" i="1" s="1"/>
  <c r="AD75" i="1" s="1"/>
  <c r="AD76" i="1" s="1"/>
  <c r="AD77" i="1" s="1"/>
  <c r="AD78" i="1" s="1"/>
  <c r="AD79" i="1" s="1"/>
  <c r="AD80" i="1" s="1"/>
  <c r="AD71" i="1"/>
  <c r="AB71" i="1"/>
  <c r="AB72" i="1" s="1"/>
  <c r="AB73" i="1" s="1"/>
  <c r="AB74" i="1" s="1"/>
  <c r="AB75" i="1" s="1"/>
  <c r="AB76" i="1" s="1"/>
  <c r="AB77" i="1" s="1"/>
  <c r="AB78" i="1" s="1"/>
  <c r="AB79" i="1" s="1"/>
  <c r="AB80" i="1" s="1"/>
  <c r="Z72" i="1"/>
  <c r="Z73" i="1" s="1"/>
  <c r="Z74" i="1" s="1"/>
  <c r="Z75" i="1" s="1"/>
  <c r="Z76" i="1" s="1"/>
  <c r="Z77" i="1" s="1"/>
  <c r="Z78" i="1" s="1"/>
  <c r="Z79" i="1" s="1"/>
  <c r="Z80" i="1" s="1"/>
  <c r="Z71" i="1"/>
  <c r="X72" i="1"/>
  <c r="X73" i="1" s="1"/>
  <c r="X74" i="1" s="1"/>
  <c r="X75" i="1" s="1"/>
  <c r="X76" i="1" s="1"/>
  <c r="X77" i="1" s="1"/>
  <c r="X78" i="1" s="1"/>
  <c r="X79" i="1" s="1"/>
  <c r="X80" i="1" s="1"/>
  <c r="X71" i="1"/>
  <c r="V71" i="1"/>
  <c r="V72" i="1" s="1"/>
  <c r="V73" i="1" s="1"/>
  <c r="V74" i="1" s="1"/>
  <c r="V75" i="1" s="1"/>
  <c r="V76" i="1" s="1"/>
  <c r="V77" i="1" s="1"/>
  <c r="V78" i="1" s="1"/>
  <c r="V79" i="1" s="1"/>
  <c r="V80" i="1" s="1"/>
  <c r="T71" i="1"/>
  <c r="T72" i="1" s="1"/>
  <c r="T73" i="1" s="1"/>
  <c r="T74" i="1" s="1"/>
  <c r="T75" i="1" s="1"/>
  <c r="T76" i="1" s="1"/>
  <c r="T77" i="1" s="1"/>
  <c r="T78" i="1" s="1"/>
  <c r="T79" i="1" s="1"/>
  <c r="T80" i="1" s="1"/>
  <c r="R72" i="1"/>
  <c r="R73" i="1" s="1"/>
  <c r="R74" i="1" s="1"/>
  <c r="R75" i="1" s="1"/>
  <c r="R76" i="1" s="1"/>
  <c r="R77" i="1" s="1"/>
  <c r="R78" i="1" s="1"/>
  <c r="R79" i="1" s="1"/>
  <c r="R80" i="1" s="1"/>
  <c r="R71" i="1"/>
  <c r="P71" i="1"/>
  <c r="P72" i="1" s="1"/>
  <c r="P73" i="1" s="1"/>
  <c r="P74" i="1" s="1"/>
  <c r="P75" i="1" s="1"/>
  <c r="P76" i="1" s="1"/>
  <c r="P77" i="1" s="1"/>
  <c r="P78" i="1" s="1"/>
  <c r="P79" i="1" s="1"/>
  <c r="P80" i="1" s="1"/>
  <c r="N71" i="1"/>
  <c r="N72" i="1" s="1"/>
  <c r="N73" i="1" s="1"/>
  <c r="N74" i="1" s="1"/>
  <c r="N75" i="1" s="1"/>
  <c r="N76" i="1" s="1"/>
  <c r="N77" i="1" s="1"/>
  <c r="N78" i="1" s="1"/>
  <c r="N79" i="1" s="1"/>
  <c r="N80" i="1" s="1"/>
  <c r="L71" i="1"/>
  <c r="L72" i="1" s="1"/>
  <c r="L73" i="1" s="1"/>
  <c r="L74" i="1" s="1"/>
  <c r="L75" i="1" s="1"/>
  <c r="L76" i="1" s="1"/>
  <c r="L77" i="1" s="1"/>
  <c r="L78" i="1" s="1"/>
  <c r="L79" i="1" s="1"/>
  <c r="L80" i="1" s="1"/>
  <c r="J71" i="1"/>
  <c r="J72" i="1" s="1"/>
  <c r="J73" i="1" s="1"/>
  <c r="J74" i="1" s="1"/>
  <c r="J75" i="1" s="1"/>
  <c r="J76" i="1" s="1"/>
  <c r="J77" i="1" s="1"/>
  <c r="J78" i="1" s="1"/>
  <c r="J79" i="1" s="1"/>
  <c r="J80" i="1" s="1"/>
  <c r="H72" i="1"/>
  <c r="H73" i="1" s="1"/>
  <c r="H74" i="1" s="1"/>
  <c r="H75" i="1" s="1"/>
  <c r="H76" i="1" s="1"/>
  <c r="H77" i="1" s="1"/>
  <c r="H78" i="1" s="1"/>
  <c r="H79" i="1" s="1"/>
  <c r="H80" i="1" s="1"/>
  <c r="H71" i="1"/>
  <c r="F72" i="1"/>
  <c r="F73" i="1" s="1"/>
  <c r="F74" i="1" s="1"/>
  <c r="F75" i="1" s="1"/>
  <c r="F76" i="1" s="1"/>
  <c r="F77" i="1" s="1"/>
  <c r="F78" i="1" s="1"/>
  <c r="F79" i="1" s="1"/>
  <c r="F80" i="1" s="1"/>
  <c r="F71" i="1"/>
  <c r="D71" i="1"/>
  <c r="D72" i="1" s="1"/>
  <c r="D73" i="1" s="1"/>
  <c r="D74" i="1" s="1"/>
  <c r="D75" i="1" s="1"/>
  <c r="D76" i="1" s="1"/>
  <c r="D77" i="1" s="1"/>
  <c r="D78" i="1" s="1"/>
  <c r="D79" i="1" s="1"/>
  <c r="D80" i="1" s="1"/>
  <c r="AW63" i="1"/>
  <c r="AU63" i="1"/>
  <c r="AS63" i="1"/>
  <c r="AQ63" i="1"/>
  <c r="AO63" i="1"/>
  <c r="AM63" i="1"/>
  <c r="AK63" i="1"/>
  <c r="AI63" i="1"/>
  <c r="AG63" i="1"/>
  <c r="AE63" i="1"/>
  <c r="AC63" i="1"/>
  <c r="AA63" i="1"/>
  <c r="Y63" i="1"/>
  <c r="W63" i="1"/>
  <c r="U63" i="1"/>
  <c r="S63" i="1"/>
  <c r="Q63" i="1"/>
  <c r="O63" i="1"/>
  <c r="M63" i="1"/>
  <c r="K63" i="1"/>
  <c r="I63" i="1"/>
  <c r="G63" i="1"/>
  <c r="E63" i="1"/>
  <c r="C63" i="1"/>
  <c r="AX53" i="1"/>
  <c r="AX54" i="1" s="1"/>
  <c r="AX55" i="1" s="1"/>
  <c r="AX56" i="1" s="1"/>
  <c r="AX57" i="1" s="1"/>
  <c r="AX58" i="1" s="1"/>
  <c r="AX59" i="1" s="1"/>
  <c r="AX60" i="1" s="1"/>
  <c r="AX61" i="1" s="1"/>
  <c r="AX62" i="1" s="1"/>
  <c r="AV53" i="1"/>
  <c r="AV54" i="1" s="1"/>
  <c r="AV55" i="1" s="1"/>
  <c r="AV56" i="1" s="1"/>
  <c r="AV57" i="1" s="1"/>
  <c r="AV58" i="1" s="1"/>
  <c r="AV59" i="1" s="1"/>
  <c r="AV60" i="1" s="1"/>
  <c r="AV61" i="1" s="1"/>
  <c r="AV62" i="1" s="1"/>
  <c r="AT53" i="1"/>
  <c r="AT54" i="1" s="1"/>
  <c r="AT55" i="1" s="1"/>
  <c r="AT56" i="1" s="1"/>
  <c r="AT57" i="1" s="1"/>
  <c r="AT58" i="1" s="1"/>
  <c r="AT59" i="1" s="1"/>
  <c r="AT60" i="1" s="1"/>
  <c r="AT61" i="1" s="1"/>
  <c r="AT62" i="1" s="1"/>
  <c r="AR53" i="1"/>
  <c r="AR54" i="1" s="1"/>
  <c r="AR55" i="1" s="1"/>
  <c r="AR56" i="1" s="1"/>
  <c r="AR57" i="1" s="1"/>
  <c r="AR58" i="1" s="1"/>
  <c r="AR59" i="1" s="1"/>
  <c r="AR60" i="1" s="1"/>
  <c r="AR61" i="1" s="1"/>
  <c r="AR62" i="1" s="1"/>
  <c r="AP53" i="1"/>
  <c r="AP54" i="1" s="1"/>
  <c r="AP55" i="1" s="1"/>
  <c r="AP56" i="1" s="1"/>
  <c r="AP57" i="1" s="1"/>
  <c r="AP58" i="1" s="1"/>
  <c r="AP59" i="1" s="1"/>
  <c r="AP60" i="1" s="1"/>
  <c r="AP61" i="1" s="1"/>
  <c r="AP62" i="1" s="1"/>
  <c r="AN53" i="1"/>
  <c r="AN54" i="1" s="1"/>
  <c r="AN55" i="1" s="1"/>
  <c r="AN56" i="1" s="1"/>
  <c r="AN57" i="1" s="1"/>
  <c r="AN58" i="1" s="1"/>
  <c r="AN59" i="1" s="1"/>
  <c r="AN60" i="1" s="1"/>
  <c r="AN61" i="1" s="1"/>
  <c r="AN62" i="1" s="1"/>
  <c r="AL53" i="1"/>
  <c r="AL54" i="1" s="1"/>
  <c r="AL55" i="1" s="1"/>
  <c r="AL56" i="1" s="1"/>
  <c r="AL57" i="1" s="1"/>
  <c r="AL58" i="1" s="1"/>
  <c r="AL59" i="1" s="1"/>
  <c r="AL60" i="1" s="1"/>
  <c r="AL61" i="1" s="1"/>
  <c r="AL62" i="1" s="1"/>
  <c r="AJ53" i="1"/>
  <c r="AJ54" i="1" s="1"/>
  <c r="AJ55" i="1" s="1"/>
  <c r="AJ56" i="1" s="1"/>
  <c r="AJ57" i="1" s="1"/>
  <c r="AJ58" i="1" s="1"/>
  <c r="AJ59" i="1" s="1"/>
  <c r="AJ60" i="1" s="1"/>
  <c r="AJ61" i="1" s="1"/>
  <c r="AJ62" i="1" s="1"/>
  <c r="AH53" i="1"/>
  <c r="AH54" i="1" s="1"/>
  <c r="AH55" i="1" s="1"/>
  <c r="AH56" i="1" s="1"/>
  <c r="AH57" i="1" s="1"/>
  <c r="AH58" i="1" s="1"/>
  <c r="AH59" i="1" s="1"/>
  <c r="AH60" i="1" s="1"/>
  <c r="AH61" i="1" s="1"/>
  <c r="AH62" i="1" s="1"/>
  <c r="AF53" i="1"/>
  <c r="AF54" i="1" s="1"/>
  <c r="AF55" i="1" s="1"/>
  <c r="AF56" i="1" s="1"/>
  <c r="AF57" i="1" s="1"/>
  <c r="AF58" i="1" s="1"/>
  <c r="AF59" i="1" s="1"/>
  <c r="AF60" i="1" s="1"/>
  <c r="AF61" i="1" s="1"/>
  <c r="AF62" i="1" s="1"/>
  <c r="AD53" i="1"/>
  <c r="AD54" i="1" s="1"/>
  <c r="AD55" i="1" s="1"/>
  <c r="AD56" i="1" s="1"/>
  <c r="AD57" i="1" s="1"/>
  <c r="AD58" i="1" s="1"/>
  <c r="AD59" i="1" s="1"/>
  <c r="AD60" i="1" s="1"/>
  <c r="AD61" i="1" s="1"/>
  <c r="AD62" i="1" s="1"/>
  <c r="AB53" i="1"/>
  <c r="AB54" i="1" s="1"/>
  <c r="AB55" i="1" s="1"/>
  <c r="AB56" i="1" s="1"/>
  <c r="AB57" i="1" s="1"/>
  <c r="AB58" i="1" s="1"/>
  <c r="AB59" i="1" s="1"/>
  <c r="AB60" i="1" s="1"/>
  <c r="AB61" i="1" s="1"/>
  <c r="AB62" i="1" s="1"/>
  <c r="Z53" i="1"/>
  <c r="Z54" i="1" s="1"/>
  <c r="Z55" i="1" s="1"/>
  <c r="Z56" i="1" s="1"/>
  <c r="Z57" i="1" s="1"/>
  <c r="Z58" i="1" s="1"/>
  <c r="Z59" i="1" s="1"/>
  <c r="Z60" i="1" s="1"/>
  <c r="Z61" i="1" s="1"/>
  <c r="Z62" i="1" s="1"/>
  <c r="X53" i="1"/>
  <c r="X54" i="1" s="1"/>
  <c r="X55" i="1" s="1"/>
  <c r="X56" i="1" s="1"/>
  <c r="X57" i="1" s="1"/>
  <c r="X58" i="1" s="1"/>
  <c r="X59" i="1" s="1"/>
  <c r="X60" i="1" s="1"/>
  <c r="X61" i="1" s="1"/>
  <c r="X62" i="1" s="1"/>
  <c r="V53" i="1"/>
  <c r="V54" i="1" s="1"/>
  <c r="V55" i="1" s="1"/>
  <c r="V56" i="1" s="1"/>
  <c r="V57" i="1" s="1"/>
  <c r="V58" i="1" s="1"/>
  <c r="V59" i="1" s="1"/>
  <c r="V60" i="1" s="1"/>
  <c r="V61" i="1" s="1"/>
  <c r="V62" i="1" s="1"/>
  <c r="T53" i="1"/>
  <c r="T54" i="1" s="1"/>
  <c r="T55" i="1" s="1"/>
  <c r="T56" i="1" s="1"/>
  <c r="T57" i="1" s="1"/>
  <c r="T58" i="1" s="1"/>
  <c r="T59" i="1" s="1"/>
  <c r="T60" i="1" s="1"/>
  <c r="T61" i="1" s="1"/>
  <c r="T62" i="1" s="1"/>
  <c r="R53" i="1"/>
  <c r="R54" i="1" s="1"/>
  <c r="R55" i="1" s="1"/>
  <c r="R56" i="1" s="1"/>
  <c r="R57" i="1" s="1"/>
  <c r="R58" i="1" s="1"/>
  <c r="R59" i="1" s="1"/>
  <c r="R60" i="1" s="1"/>
  <c r="R61" i="1" s="1"/>
  <c r="R62" i="1" s="1"/>
  <c r="P53" i="1"/>
  <c r="P54" i="1" s="1"/>
  <c r="P55" i="1" s="1"/>
  <c r="P56" i="1" s="1"/>
  <c r="P57" i="1" s="1"/>
  <c r="P58" i="1" s="1"/>
  <c r="P59" i="1" s="1"/>
  <c r="P60" i="1" s="1"/>
  <c r="P61" i="1" s="1"/>
  <c r="P62" i="1" s="1"/>
  <c r="N53" i="1"/>
  <c r="N54" i="1" s="1"/>
  <c r="N55" i="1" s="1"/>
  <c r="N56" i="1" s="1"/>
  <c r="N57" i="1" s="1"/>
  <c r="N58" i="1" s="1"/>
  <c r="N59" i="1" s="1"/>
  <c r="N60" i="1" s="1"/>
  <c r="N61" i="1" s="1"/>
  <c r="N62" i="1" s="1"/>
  <c r="L53" i="1"/>
  <c r="L54" i="1" s="1"/>
  <c r="L55" i="1" s="1"/>
  <c r="L56" i="1" s="1"/>
  <c r="L57" i="1" s="1"/>
  <c r="L58" i="1" s="1"/>
  <c r="L59" i="1" s="1"/>
  <c r="L60" i="1" s="1"/>
  <c r="L61" i="1" s="1"/>
  <c r="L62" i="1" s="1"/>
  <c r="J53" i="1"/>
  <c r="J54" i="1" s="1"/>
  <c r="J55" i="1" s="1"/>
  <c r="J56" i="1" s="1"/>
  <c r="J57" i="1" s="1"/>
  <c r="J58" i="1" s="1"/>
  <c r="J59" i="1" s="1"/>
  <c r="J60" i="1" s="1"/>
  <c r="J61" i="1" s="1"/>
  <c r="J62" i="1" s="1"/>
  <c r="H53" i="1"/>
  <c r="H54" i="1" s="1"/>
  <c r="H55" i="1" s="1"/>
  <c r="H56" i="1" s="1"/>
  <c r="H57" i="1" s="1"/>
  <c r="H58" i="1" s="1"/>
  <c r="H59" i="1" s="1"/>
  <c r="H60" i="1" s="1"/>
  <c r="H61" i="1" s="1"/>
  <c r="H62" i="1" s="1"/>
  <c r="F53" i="1"/>
  <c r="F54" i="1" s="1"/>
  <c r="F55" i="1" s="1"/>
  <c r="F56" i="1" s="1"/>
  <c r="F57" i="1" s="1"/>
  <c r="F58" i="1" s="1"/>
  <c r="F59" i="1" s="1"/>
  <c r="F60" i="1" s="1"/>
  <c r="F61" i="1" s="1"/>
  <c r="F62" i="1" s="1"/>
  <c r="D53" i="1"/>
  <c r="D54" i="1" s="1"/>
  <c r="D55" i="1" s="1"/>
  <c r="D56" i="1" s="1"/>
  <c r="D57" i="1" s="1"/>
  <c r="D58" i="1" s="1"/>
  <c r="D59" i="1" s="1"/>
  <c r="D60" i="1" s="1"/>
  <c r="D61" i="1" s="1"/>
  <c r="D62" i="1" s="1"/>
  <c r="AW43" i="1"/>
  <c r="AU43" i="1"/>
  <c r="AS43" i="1"/>
  <c r="AQ43" i="1"/>
  <c r="AO43" i="1"/>
  <c r="AM43" i="1"/>
  <c r="AK43" i="1"/>
  <c r="AI43" i="1"/>
  <c r="AG43" i="1"/>
  <c r="AE43" i="1"/>
  <c r="AC43" i="1"/>
  <c r="AA43" i="1"/>
  <c r="Y43" i="1"/>
  <c r="W43" i="1"/>
  <c r="U43" i="1"/>
  <c r="S43" i="1"/>
  <c r="Q43" i="1"/>
  <c r="O43" i="1"/>
  <c r="M43" i="1"/>
  <c r="K43" i="1"/>
  <c r="I43" i="1"/>
  <c r="G43" i="1"/>
  <c r="E43" i="1"/>
  <c r="C43" i="1"/>
  <c r="AX33" i="1"/>
  <c r="AX34" i="1" s="1"/>
  <c r="AX35" i="1" s="1"/>
  <c r="AX36" i="1" s="1"/>
  <c r="AX37" i="1" s="1"/>
  <c r="AX38" i="1" s="1"/>
  <c r="AX39" i="1" s="1"/>
  <c r="AX40" i="1" s="1"/>
  <c r="AX41" i="1" s="1"/>
  <c r="AX42" i="1" s="1"/>
  <c r="AV33" i="1"/>
  <c r="AV34" i="1" s="1"/>
  <c r="AV35" i="1" s="1"/>
  <c r="AV36" i="1" s="1"/>
  <c r="AV37" i="1" s="1"/>
  <c r="AV38" i="1" s="1"/>
  <c r="AV39" i="1" s="1"/>
  <c r="AV40" i="1" s="1"/>
  <c r="AV41" i="1" s="1"/>
  <c r="AV42" i="1" s="1"/>
  <c r="AT33" i="1"/>
  <c r="AT34" i="1" s="1"/>
  <c r="AT35" i="1" s="1"/>
  <c r="AT36" i="1" s="1"/>
  <c r="AT37" i="1" s="1"/>
  <c r="AT38" i="1" s="1"/>
  <c r="AT39" i="1" s="1"/>
  <c r="AT40" i="1" s="1"/>
  <c r="AT41" i="1" s="1"/>
  <c r="AT42" i="1" s="1"/>
  <c r="AR33" i="1"/>
  <c r="AR34" i="1" s="1"/>
  <c r="AR35" i="1" s="1"/>
  <c r="AR36" i="1" s="1"/>
  <c r="AR37" i="1" s="1"/>
  <c r="AR38" i="1" s="1"/>
  <c r="AR39" i="1" s="1"/>
  <c r="AR40" i="1" s="1"/>
  <c r="AR41" i="1" s="1"/>
  <c r="AR42" i="1" s="1"/>
  <c r="AP33" i="1"/>
  <c r="AP34" i="1" s="1"/>
  <c r="AP35" i="1" s="1"/>
  <c r="AP36" i="1" s="1"/>
  <c r="AP37" i="1" s="1"/>
  <c r="AP38" i="1" s="1"/>
  <c r="AP39" i="1" s="1"/>
  <c r="AP40" i="1" s="1"/>
  <c r="AP41" i="1" s="1"/>
  <c r="AP42" i="1" s="1"/>
  <c r="AN33" i="1"/>
  <c r="AN34" i="1" s="1"/>
  <c r="AN35" i="1" s="1"/>
  <c r="AN36" i="1" s="1"/>
  <c r="AN37" i="1" s="1"/>
  <c r="AN38" i="1" s="1"/>
  <c r="AN39" i="1" s="1"/>
  <c r="AN40" i="1" s="1"/>
  <c r="AN41" i="1" s="1"/>
  <c r="AN42" i="1" s="1"/>
  <c r="AL33" i="1"/>
  <c r="AL34" i="1" s="1"/>
  <c r="AL35" i="1" s="1"/>
  <c r="AL36" i="1" s="1"/>
  <c r="AL37" i="1" s="1"/>
  <c r="AL38" i="1" s="1"/>
  <c r="AL39" i="1" s="1"/>
  <c r="AL40" i="1" s="1"/>
  <c r="AL41" i="1" s="1"/>
  <c r="AL42" i="1" s="1"/>
  <c r="AJ33" i="1"/>
  <c r="AJ34" i="1" s="1"/>
  <c r="AJ35" i="1" s="1"/>
  <c r="AJ36" i="1" s="1"/>
  <c r="AJ37" i="1" s="1"/>
  <c r="AJ38" i="1" s="1"/>
  <c r="AJ39" i="1" s="1"/>
  <c r="AJ40" i="1" s="1"/>
  <c r="AJ41" i="1" s="1"/>
  <c r="AJ42" i="1" s="1"/>
  <c r="AH33" i="1"/>
  <c r="AH34" i="1" s="1"/>
  <c r="AH35" i="1" s="1"/>
  <c r="AH36" i="1" s="1"/>
  <c r="AH37" i="1" s="1"/>
  <c r="AH38" i="1" s="1"/>
  <c r="AH39" i="1" s="1"/>
  <c r="AH40" i="1" s="1"/>
  <c r="AH41" i="1" s="1"/>
  <c r="AH42" i="1" s="1"/>
  <c r="AF33" i="1"/>
  <c r="AF34" i="1" s="1"/>
  <c r="AF35" i="1" s="1"/>
  <c r="AF36" i="1" s="1"/>
  <c r="AF37" i="1" s="1"/>
  <c r="AF38" i="1" s="1"/>
  <c r="AF39" i="1" s="1"/>
  <c r="AF40" i="1" s="1"/>
  <c r="AF41" i="1" s="1"/>
  <c r="AF42" i="1" s="1"/>
  <c r="AD33" i="1"/>
  <c r="AD34" i="1" s="1"/>
  <c r="AD35" i="1" s="1"/>
  <c r="AD36" i="1" s="1"/>
  <c r="AD37" i="1" s="1"/>
  <c r="AD38" i="1" s="1"/>
  <c r="AD39" i="1" s="1"/>
  <c r="AD40" i="1" s="1"/>
  <c r="AD41" i="1" s="1"/>
  <c r="AD42" i="1" s="1"/>
  <c r="AB33" i="1"/>
  <c r="AB34" i="1" s="1"/>
  <c r="AB35" i="1" s="1"/>
  <c r="AB36" i="1" s="1"/>
  <c r="AB37" i="1" s="1"/>
  <c r="AB38" i="1" s="1"/>
  <c r="AB39" i="1" s="1"/>
  <c r="AB40" i="1" s="1"/>
  <c r="AB41" i="1" s="1"/>
  <c r="AB42" i="1" s="1"/>
  <c r="Z33" i="1"/>
  <c r="Z34" i="1" s="1"/>
  <c r="Z35" i="1" s="1"/>
  <c r="Z36" i="1" s="1"/>
  <c r="Z37" i="1" s="1"/>
  <c r="Z38" i="1" s="1"/>
  <c r="Z39" i="1" s="1"/>
  <c r="Z40" i="1" s="1"/>
  <c r="Z41" i="1" s="1"/>
  <c r="Z42" i="1" s="1"/>
  <c r="X33" i="1"/>
  <c r="X34" i="1" s="1"/>
  <c r="X35" i="1" s="1"/>
  <c r="X36" i="1" s="1"/>
  <c r="X37" i="1" s="1"/>
  <c r="X38" i="1" s="1"/>
  <c r="X39" i="1" s="1"/>
  <c r="X40" i="1" s="1"/>
  <c r="X41" i="1" s="1"/>
  <c r="X42" i="1" s="1"/>
  <c r="V33" i="1"/>
  <c r="V34" i="1" s="1"/>
  <c r="V35" i="1" s="1"/>
  <c r="V36" i="1" s="1"/>
  <c r="V37" i="1" s="1"/>
  <c r="V38" i="1" s="1"/>
  <c r="V39" i="1" s="1"/>
  <c r="V40" i="1" s="1"/>
  <c r="V41" i="1" s="1"/>
  <c r="V42" i="1" s="1"/>
  <c r="T33" i="1"/>
  <c r="T34" i="1" s="1"/>
  <c r="T35" i="1" s="1"/>
  <c r="T36" i="1" s="1"/>
  <c r="T37" i="1" s="1"/>
  <c r="T38" i="1" s="1"/>
  <c r="T39" i="1" s="1"/>
  <c r="T40" i="1" s="1"/>
  <c r="T41" i="1" s="1"/>
  <c r="T42" i="1" s="1"/>
  <c r="R33" i="1"/>
  <c r="R34" i="1" s="1"/>
  <c r="R35" i="1" s="1"/>
  <c r="R36" i="1" s="1"/>
  <c r="R37" i="1" s="1"/>
  <c r="R38" i="1" s="1"/>
  <c r="R39" i="1" s="1"/>
  <c r="R40" i="1" s="1"/>
  <c r="R41" i="1" s="1"/>
  <c r="R42" i="1" s="1"/>
  <c r="P33" i="1"/>
  <c r="P34" i="1" s="1"/>
  <c r="P35" i="1" s="1"/>
  <c r="P36" i="1" s="1"/>
  <c r="P37" i="1" s="1"/>
  <c r="P38" i="1" s="1"/>
  <c r="P39" i="1" s="1"/>
  <c r="P40" i="1" s="1"/>
  <c r="P41" i="1" s="1"/>
  <c r="P42" i="1" s="1"/>
  <c r="N33" i="1"/>
  <c r="N34" i="1" s="1"/>
  <c r="N35" i="1" s="1"/>
  <c r="N36" i="1" s="1"/>
  <c r="N37" i="1" s="1"/>
  <c r="N38" i="1" s="1"/>
  <c r="N39" i="1" s="1"/>
  <c r="N40" i="1" s="1"/>
  <c r="N41" i="1" s="1"/>
  <c r="N42" i="1" s="1"/>
  <c r="L33" i="1"/>
  <c r="L34" i="1" s="1"/>
  <c r="L35" i="1" s="1"/>
  <c r="L36" i="1" s="1"/>
  <c r="L37" i="1" s="1"/>
  <c r="L38" i="1" s="1"/>
  <c r="L39" i="1" s="1"/>
  <c r="L40" i="1" s="1"/>
  <c r="L41" i="1" s="1"/>
  <c r="L42" i="1" s="1"/>
  <c r="J33" i="1"/>
  <c r="J34" i="1" s="1"/>
  <c r="J35" i="1" s="1"/>
  <c r="J36" i="1" s="1"/>
  <c r="J37" i="1" s="1"/>
  <c r="J38" i="1" s="1"/>
  <c r="J39" i="1" s="1"/>
  <c r="J40" i="1" s="1"/>
  <c r="J41" i="1" s="1"/>
  <c r="J42" i="1" s="1"/>
  <c r="H33" i="1"/>
  <c r="H34" i="1" s="1"/>
  <c r="H35" i="1" s="1"/>
  <c r="H36" i="1" s="1"/>
  <c r="H37" i="1" s="1"/>
  <c r="H38" i="1" s="1"/>
  <c r="H39" i="1" s="1"/>
  <c r="H40" i="1" s="1"/>
  <c r="H41" i="1" s="1"/>
  <c r="H42" i="1" s="1"/>
  <c r="F33" i="1"/>
  <c r="F34" i="1" s="1"/>
  <c r="F35" i="1" s="1"/>
  <c r="F36" i="1" s="1"/>
  <c r="F37" i="1" s="1"/>
  <c r="F38" i="1" s="1"/>
  <c r="F39" i="1" s="1"/>
  <c r="F40" i="1" s="1"/>
  <c r="F41" i="1" s="1"/>
  <c r="F42" i="1" s="1"/>
  <c r="D33" i="1"/>
  <c r="D34" i="1" s="1"/>
  <c r="D35" i="1" s="1"/>
  <c r="D36" i="1" s="1"/>
  <c r="D37" i="1" s="1"/>
  <c r="D38" i="1" s="1"/>
  <c r="D39" i="1" s="1"/>
  <c r="D40" i="1" s="1"/>
  <c r="D41" i="1" s="1"/>
  <c r="D42" i="1" s="1"/>
  <c r="AW25" i="1"/>
  <c r="AU25" i="1"/>
  <c r="AS25" i="1"/>
  <c r="AQ25" i="1"/>
  <c r="AO25" i="1"/>
  <c r="AM25" i="1"/>
  <c r="AK25" i="1"/>
  <c r="AI25" i="1"/>
  <c r="AG25" i="1"/>
  <c r="AE25" i="1"/>
  <c r="AC25" i="1"/>
  <c r="AA25" i="1"/>
  <c r="Y25" i="1"/>
  <c r="W25" i="1"/>
  <c r="U25" i="1"/>
  <c r="S25" i="1"/>
  <c r="Q25" i="1"/>
  <c r="O25" i="1"/>
  <c r="M25" i="1"/>
  <c r="K25" i="1"/>
  <c r="I25" i="1"/>
  <c r="G25" i="1"/>
  <c r="E25" i="1"/>
  <c r="C25" i="1"/>
  <c r="AX15" i="1"/>
  <c r="AX16" i="1" s="1"/>
  <c r="AX17" i="1" s="1"/>
  <c r="AX18" i="1" s="1"/>
  <c r="AX19" i="1" s="1"/>
  <c r="AX20" i="1" s="1"/>
  <c r="AX21" i="1" s="1"/>
  <c r="AX22" i="1" s="1"/>
  <c r="AX23" i="1" s="1"/>
  <c r="AX24" i="1" s="1"/>
  <c r="AV15" i="1"/>
  <c r="AV16" i="1" s="1"/>
  <c r="AV17" i="1" s="1"/>
  <c r="AV18" i="1" s="1"/>
  <c r="AV19" i="1" s="1"/>
  <c r="AV20" i="1" s="1"/>
  <c r="AV21" i="1" s="1"/>
  <c r="AV22" i="1" s="1"/>
  <c r="AV23" i="1" s="1"/>
  <c r="AV24" i="1" s="1"/>
  <c r="AT15" i="1"/>
  <c r="AT16" i="1" s="1"/>
  <c r="AT17" i="1" s="1"/>
  <c r="AT18" i="1" s="1"/>
  <c r="AT19" i="1" s="1"/>
  <c r="AT20" i="1" s="1"/>
  <c r="AT21" i="1" s="1"/>
  <c r="AT22" i="1" s="1"/>
  <c r="AT23" i="1" s="1"/>
  <c r="AT24" i="1" s="1"/>
  <c r="AR15" i="1"/>
  <c r="AR16" i="1" s="1"/>
  <c r="AR17" i="1" s="1"/>
  <c r="AR18" i="1" s="1"/>
  <c r="AR19" i="1" s="1"/>
  <c r="AR20" i="1" s="1"/>
  <c r="AR21" i="1" s="1"/>
  <c r="AR22" i="1" s="1"/>
  <c r="AR23" i="1" s="1"/>
  <c r="AR24" i="1" s="1"/>
  <c r="AP15" i="1"/>
  <c r="AP16" i="1" s="1"/>
  <c r="AP17" i="1" s="1"/>
  <c r="AP18" i="1" s="1"/>
  <c r="AP19" i="1" s="1"/>
  <c r="AP20" i="1" s="1"/>
  <c r="AP21" i="1" s="1"/>
  <c r="AP22" i="1" s="1"/>
  <c r="AP23" i="1" s="1"/>
  <c r="AP24" i="1" s="1"/>
  <c r="AN15" i="1"/>
  <c r="AN16" i="1" s="1"/>
  <c r="AN17" i="1" s="1"/>
  <c r="AN18" i="1" s="1"/>
  <c r="AN19" i="1" s="1"/>
  <c r="AN20" i="1" s="1"/>
  <c r="AN21" i="1" s="1"/>
  <c r="AN22" i="1" s="1"/>
  <c r="AN23" i="1" s="1"/>
  <c r="AN24" i="1" s="1"/>
  <c r="AL15" i="1"/>
  <c r="AL16" i="1" s="1"/>
  <c r="AL17" i="1" s="1"/>
  <c r="AL18" i="1" s="1"/>
  <c r="AL19" i="1" s="1"/>
  <c r="AL20" i="1" s="1"/>
  <c r="AL21" i="1" s="1"/>
  <c r="AL22" i="1" s="1"/>
  <c r="AL23" i="1" s="1"/>
  <c r="AL24" i="1" s="1"/>
  <c r="AJ15" i="1"/>
  <c r="AJ16" i="1" s="1"/>
  <c r="AJ17" i="1" s="1"/>
  <c r="AJ18" i="1" s="1"/>
  <c r="AJ19" i="1" s="1"/>
  <c r="AJ20" i="1" s="1"/>
  <c r="AJ21" i="1" s="1"/>
  <c r="AJ22" i="1" s="1"/>
  <c r="AJ23" i="1" s="1"/>
  <c r="AJ24" i="1" s="1"/>
  <c r="AH15" i="1"/>
  <c r="AH16" i="1" s="1"/>
  <c r="AH17" i="1" s="1"/>
  <c r="AH18" i="1" s="1"/>
  <c r="AH19" i="1" s="1"/>
  <c r="AH20" i="1" s="1"/>
  <c r="AH21" i="1" s="1"/>
  <c r="AH22" i="1" s="1"/>
  <c r="AH23" i="1" s="1"/>
  <c r="AH24" i="1" s="1"/>
  <c r="AF15" i="1"/>
  <c r="AF16" i="1" s="1"/>
  <c r="AF17" i="1" s="1"/>
  <c r="AF18" i="1" s="1"/>
  <c r="AF19" i="1" s="1"/>
  <c r="AF20" i="1" s="1"/>
  <c r="AF21" i="1" s="1"/>
  <c r="AF22" i="1" s="1"/>
  <c r="AF23" i="1" s="1"/>
  <c r="AF24" i="1" s="1"/>
  <c r="AD15" i="1"/>
  <c r="AD16" i="1" s="1"/>
  <c r="AD17" i="1" s="1"/>
  <c r="AD18" i="1" s="1"/>
  <c r="AD19" i="1" s="1"/>
  <c r="AD20" i="1" s="1"/>
  <c r="AD21" i="1" s="1"/>
  <c r="AD22" i="1" s="1"/>
  <c r="AD23" i="1" s="1"/>
  <c r="AD24" i="1" s="1"/>
  <c r="AB15" i="1"/>
  <c r="AB16" i="1" s="1"/>
  <c r="AB17" i="1" s="1"/>
  <c r="AB18" i="1" s="1"/>
  <c r="AB19" i="1" s="1"/>
  <c r="AB20" i="1" s="1"/>
  <c r="AB21" i="1" s="1"/>
  <c r="AB22" i="1" s="1"/>
  <c r="AB23" i="1" s="1"/>
  <c r="AB24" i="1" s="1"/>
  <c r="Z15" i="1"/>
  <c r="Z16" i="1" s="1"/>
  <c r="Z17" i="1" s="1"/>
  <c r="Z18" i="1" s="1"/>
  <c r="Z19" i="1" s="1"/>
  <c r="Z20" i="1" s="1"/>
  <c r="Z21" i="1" s="1"/>
  <c r="Z22" i="1" s="1"/>
  <c r="Z23" i="1" s="1"/>
  <c r="Z24" i="1" s="1"/>
  <c r="X15" i="1"/>
  <c r="X16" i="1" s="1"/>
  <c r="X17" i="1" s="1"/>
  <c r="X18" i="1" s="1"/>
  <c r="X19" i="1" s="1"/>
  <c r="X20" i="1" s="1"/>
  <c r="X21" i="1" s="1"/>
  <c r="X22" i="1" s="1"/>
  <c r="X23" i="1" s="1"/>
  <c r="X24" i="1" s="1"/>
  <c r="V15" i="1"/>
  <c r="V16" i="1" s="1"/>
  <c r="V17" i="1" s="1"/>
  <c r="V18" i="1" s="1"/>
  <c r="V19" i="1" s="1"/>
  <c r="V20" i="1" s="1"/>
  <c r="V21" i="1" s="1"/>
  <c r="V22" i="1" s="1"/>
  <c r="V23" i="1" s="1"/>
  <c r="V24" i="1" s="1"/>
  <c r="T15" i="1"/>
  <c r="T16" i="1" s="1"/>
  <c r="T17" i="1" s="1"/>
  <c r="T18" i="1" s="1"/>
  <c r="T19" i="1" s="1"/>
  <c r="T20" i="1" s="1"/>
  <c r="T21" i="1" s="1"/>
  <c r="T22" i="1" s="1"/>
  <c r="T23" i="1" s="1"/>
  <c r="T24" i="1" s="1"/>
  <c r="R15" i="1"/>
  <c r="R16" i="1" s="1"/>
  <c r="R17" i="1" s="1"/>
  <c r="R18" i="1" s="1"/>
  <c r="R19" i="1" s="1"/>
  <c r="R20" i="1" s="1"/>
  <c r="R21" i="1" s="1"/>
  <c r="R22" i="1" s="1"/>
  <c r="R23" i="1" s="1"/>
  <c r="R24" i="1" s="1"/>
  <c r="P15" i="1"/>
  <c r="P16" i="1" s="1"/>
  <c r="P17" i="1" s="1"/>
  <c r="P18" i="1" s="1"/>
  <c r="P19" i="1" s="1"/>
  <c r="P20" i="1" s="1"/>
  <c r="P21" i="1" s="1"/>
  <c r="P22" i="1" s="1"/>
  <c r="P23" i="1" s="1"/>
  <c r="P24" i="1" s="1"/>
  <c r="N15" i="1"/>
  <c r="N16" i="1" s="1"/>
  <c r="N17" i="1" s="1"/>
  <c r="N18" i="1" s="1"/>
  <c r="N19" i="1" s="1"/>
  <c r="N20" i="1" s="1"/>
  <c r="N21" i="1" s="1"/>
  <c r="N22" i="1" s="1"/>
  <c r="N23" i="1" s="1"/>
  <c r="N24" i="1" s="1"/>
  <c r="L15" i="1"/>
  <c r="L16" i="1" s="1"/>
  <c r="L17" i="1" s="1"/>
  <c r="L18" i="1" s="1"/>
  <c r="L19" i="1" s="1"/>
  <c r="L20" i="1" s="1"/>
  <c r="L21" i="1" s="1"/>
  <c r="L22" i="1" s="1"/>
  <c r="L23" i="1" s="1"/>
  <c r="L24" i="1" s="1"/>
  <c r="J15" i="1"/>
  <c r="J16" i="1" s="1"/>
  <c r="J17" i="1" s="1"/>
  <c r="J18" i="1" s="1"/>
  <c r="J19" i="1" s="1"/>
  <c r="J20" i="1" s="1"/>
  <c r="J21" i="1" s="1"/>
  <c r="J22" i="1" s="1"/>
  <c r="J23" i="1" s="1"/>
  <c r="J24" i="1" s="1"/>
  <c r="H15" i="1"/>
  <c r="H16" i="1" s="1"/>
  <c r="H17" i="1" s="1"/>
  <c r="H18" i="1" s="1"/>
  <c r="H19" i="1" s="1"/>
  <c r="H20" i="1" s="1"/>
  <c r="H21" i="1" s="1"/>
  <c r="H22" i="1" s="1"/>
  <c r="H23" i="1" s="1"/>
  <c r="H24" i="1" s="1"/>
  <c r="F15" i="1"/>
  <c r="F16" i="1" s="1"/>
  <c r="F17" i="1" s="1"/>
  <c r="F18" i="1" s="1"/>
  <c r="F19" i="1" s="1"/>
  <c r="F20" i="1" s="1"/>
  <c r="F21" i="1" s="1"/>
  <c r="F22" i="1" s="1"/>
  <c r="F23" i="1" s="1"/>
  <c r="F24" i="1" s="1"/>
  <c r="D15" i="1"/>
  <c r="D16" i="1" s="1"/>
  <c r="D17" i="1" s="1"/>
  <c r="D18" i="1" s="1"/>
  <c r="D19" i="1" s="1"/>
  <c r="D20" i="1" s="1"/>
  <c r="D21" i="1" s="1"/>
  <c r="D22" i="1" s="1"/>
  <c r="D23" i="1" s="1"/>
  <c r="D24" i="1" s="1"/>
  <c r="AG81" i="4"/>
  <c r="AE81" i="4"/>
  <c r="AC81" i="4"/>
  <c r="AA81" i="4"/>
  <c r="Y81" i="4"/>
  <c r="W81" i="4"/>
  <c r="U81" i="4"/>
  <c r="S81" i="4"/>
  <c r="Q81" i="4"/>
  <c r="O81" i="4"/>
  <c r="M81" i="4"/>
  <c r="K81" i="4"/>
  <c r="I81" i="4"/>
  <c r="G81" i="4"/>
  <c r="E81" i="4"/>
  <c r="C81" i="4"/>
  <c r="AH72" i="4"/>
  <c r="AH73" i="4" s="1"/>
  <c r="AH74" i="4" s="1"/>
  <c r="AH75" i="4" s="1"/>
  <c r="AH76" i="4" s="1"/>
  <c r="AH77" i="4" s="1"/>
  <c r="AH78" i="4" s="1"/>
  <c r="AH79" i="4" s="1"/>
  <c r="AH80" i="4" s="1"/>
  <c r="AH71" i="4"/>
  <c r="AF71" i="4"/>
  <c r="AF72" i="4" s="1"/>
  <c r="AF73" i="4" s="1"/>
  <c r="AF74" i="4" s="1"/>
  <c r="AF75" i="4" s="1"/>
  <c r="AF76" i="4" s="1"/>
  <c r="AF77" i="4" s="1"/>
  <c r="AF78" i="4" s="1"/>
  <c r="AF79" i="4" s="1"/>
  <c r="AF80" i="4" s="1"/>
  <c r="AD71" i="4"/>
  <c r="AD72" i="4" s="1"/>
  <c r="AD73" i="4" s="1"/>
  <c r="AD74" i="4" s="1"/>
  <c r="AD75" i="4" s="1"/>
  <c r="AD76" i="4" s="1"/>
  <c r="AD77" i="4" s="1"/>
  <c r="AD78" i="4" s="1"/>
  <c r="AD79" i="4" s="1"/>
  <c r="AD80" i="4" s="1"/>
  <c r="AB71" i="4"/>
  <c r="AB72" i="4" s="1"/>
  <c r="AB73" i="4" s="1"/>
  <c r="AB74" i="4" s="1"/>
  <c r="AB75" i="4" s="1"/>
  <c r="AB76" i="4" s="1"/>
  <c r="AB77" i="4" s="1"/>
  <c r="AB78" i="4" s="1"/>
  <c r="AB79" i="4" s="1"/>
  <c r="AB80" i="4" s="1"/>
  <c r="Z71" i="4"/>
  <c r="Z72" i="4" s="1"/>
  <c r="Z73" i="4" s="1"/>
  <c r="Z74" i="4" s="1"/>
  <c r="Z75" i="4" s="1"/>
  <c r="Z76" i="4" s="1"/>
  <c r="Z77" i="4" s="1"/>
  <c r="Z78" i="4" s="1"/>
  <c r="Z79" i="4" s="1"/>
  <c r="Z80" i="4" s="1"/>
  <c r="X72" i="4"/>
  <c r="X73" i="4" s="1"/>
  <c r="X74" i="4" s="1"/>
  <c r="X75" i="4" s="1"/>
  <c r="X76" i="4" s="1"/>
  <c r="X77" i="4" s="1"/>
  <c r="X78" i="4" s="1"/>
  <c r="X79" i="4" s="1"/>
  <c r="X80" i="4" s="1"/>
  <c r="X71" i="4"/>
  <c r="V72" i="4"/>
  <c r="V73" i="4" s="1"/>
  <c r="V74" i="4" s="1"/>
  <c r="V75" i="4" s="1"/>
  <c r="V76" i="4" s="1"/>
  <c r="V77" i="4" s="1"/>
  <c r="V78" i="4" s="1"/>
  <c r="V79" i="4" s="1"/>
  <c r="V80" i="4" s="1"/>
  <c r="V71" i="4"/>
  <c r="T72" i="4"/>
  <c r="T73" i="4" s="1"/>
  <c r="T74" i="4" s="1"/>
  <c r="T75" i="4" s="1"/>
  <c r="T76" i="4" s="1"/>
  <c r="T77" i="4" s="1"/>
  <c r="T78" i="4" s="1"/>
  <c r="T79" i="4" s="1"/>
  <c r="T80" i="4" s="1"/>
  <c r="T71" i="4"/>
  <c r="R72" i="4"/>
  <c r="R73" i="4" s="1"/>
  <c r="R74" i="4" s="1"/>
  <c r="R75" i="4" s="1"/>
  <c r="R76" i="4" s="1"/>
  <c r="R77" i="4" s="1"/>
  <c r="R78" i="4" s="1"/>
  <c r="R79" i="4" s="1"/>
  <c r="R80" i="4" s="1"/>
  <c r="R71" i="4"/>
  <c r="P72" i="4"/>
  <c r="P73" i="4" s="1"/>
  <c r="P74" i="4" s="1"/>
  <c r="P75" i="4" s="1"/>
  <c r="P76" i="4" s="1"/>
  <c r="P77" i="4" s="1"/>
  <c r="P78" i="4" s="1"/>
  <c r="P79" i="4" s="1"/>
  <c r="P80" i="4" s="1"/>
  <c r="P71" i="4"/>
  <c r="N72" i="4"/>
  <c r="N73" i="4" s="1"/>
  <c r="N74" i="4" s="1"/>
  <c r="N75" i="4" s="1"/>
  <c r="N76" i="4" s="1"/>
  <c r="N77" i="4" s="1"/>
  <c r="N78" i="4" s="1"/>
  <c r="N79" i="4" s="1"/>
  <c r="N80" i="4" s="1"/>
  <c r="N71" i="4"/>
  <c r="L72" i="4"/>
  <c r="L73" i="4" s="1"/>
  <c r="L74" i="4" s="1"/>
  <c r="L75" i="4" s="1"/>
  <c r="L76" i="4" s="1"/>
  <c r="L77" i="4" s="1"/>
  <c r="L78" i="4" s="1"/>
  <c r="L79" i="4" s="1"/>
  <c r="L80" i="4" s="1"/>
  <c r="L71" i="4"/>
  <c r="J71" i="4"/>
  <c r="J72" i="4" s="1"/>
  <c r="J73" i="4" s="1"/>
  <c r="J74" i="4" s="1"/>
  <c r="J75" i="4" s="1"/>
  <c r="J76" i="4" s="1"/>
  <c r="J77" i="4" s="1"/>
  <c r="J78" i="4" s="1"/>
  <c r="J79" i="4" s="1"/>
  <c r="J80" i="4" s="1"/>
  <c r="H72" i="4"/>
  <c r="H73" i="4" s="1"/>
  <c r="H74" i="4" s="1"/>
  <c r="H75" i="4" s="1"/>
  <c r="H76" i="4" s="1"/>
  <c r="H77" i="4" s="1"/>
  <c r="H78" i="4" s="1"/>
  <c r="H79" i="4" s="1"/>
  <c r="H80" i="4" s="1"/>
  <c r="H71" i="4"/>
  <c r="F71" i="4"/>
  <c r="F72" i="4" s="1"/>
  <c r="F73" i="4" s="1"/>
  <c r="F74" i="4" s="1"/>
  <c r="F75" i="4" s="1"/>
  <c r="F76" i="4" s="1"/>
  <c r="F77" i="4" s="1"/>
  <c r="F78" i="4" s="1"/>
  <c r="F79" i="4" s="1"/>
  <c r="F80" i="4" s="1"/>
  <c r="D72" i="4"/>
  <c r="D73" i="4" s="1"/>
  <c r="D74" i="4" s="1"/>
  <c r="D75" i="4" s="1"/>
  <c r="D76" i="4" s="1"/>
  <c r="D77" i="4" s="1"/>
  <c r="D78" i="4" s="1"/>
  <c r="D79" i="4" s="1"/>
  <c r="D80" i="4" s="1"/>
  <c r="D71" i="4"/>
  <c r="AG63" i="4"/>
  <c r="AE63" i="4"/>
  <c r="AC63" i="4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AH53" i="4"/>
  <c r="AH54" i="4" s="1"/>
  <c r="AH55" i="4" s="1"/>
  <c r="AH56" i="4" s="1"/>
  <c r="AH57" i="4" s="1"/>
  <c r="AH58" i="4" s="1"/>
  <c r="AH59" i="4" s="1"/>
  <c r="AH60" i="4" s="1"/>
  <c r="AH61" i="4" s="1"/>
  <c r="AH62" i="4" s="1"/>
  <c r="AF53" i="4"/>
  <c r="AF54" i="4" s="1"/>
  <c r="AF55" i="4" s="1"/>
  <c r="AF56" i="4" s="1"/>
  <c r="AF57" i="4" s="1"/>
  <c r="AF58" i="4" s="1"/>
  <c r="AF59" i="4" s="1"/>
  <c r="AF60" i="4" s="1"/>
  <c r="AF61" i="4" s="1"/>
  <c r="AF62" i="4" s="1"/>
  <c r="AD53" i="4"/>
  <c r="AD54" i="4" s="1"/>
  <c r="AD55" i="4" s="1"/>
  <c r="AD56" i="4" s="1"/>
  <c r="AD57" i="4" s="1"/>
  <c r="AD58" i="4" s="1"/>
  <c r="AD59" i="4" s="1"/>
  <c r="AD60" i="4" s="1"/>
  <c r="AD61" i="4" s="1"/>
  <c r="AD62" i="4" s="1"/>
  <c r="AB53" i="4"/>
  <c r="AB54" i="4" s="1"/>
  <c r="AB55" i="4" s="1"/>
  <c r="AB56" i="4" s="1"/>
  <c r="AB57" i="4" s="1"/>
  <c r="AB58" i="4" s="1"/>
  <c r="AB59" i="4" s="1"/>
  <c r="AB60" i="4" s="1"/>
  <c r="AB61" i="4" s="1"/>
  <c r="AB62" i="4" s="1"/>
  <c r="Z53" i="4"/>
  <c r="Z54" i="4" s="1"/>
  <c r="Z55" i="4" s="1"/>
  <c r="Z56" i="4" s="1"/>
  <c r="Z57" i="4" s="1"/>
  <c r="Z58" i="4" s="1"/>
  <c r="Z59" i="4" s="1"/>
  <c r="Z60" i="4" s="1"/>
  <c r="Z61" i="4" s="1"/>
  <c r="Z62" i="4" s="1"/>
  <c r="X53" i="4"/>
  <c r="X54" i="4" s="1"/>
  <c r="X55" i="4" s="1"/>
  <c r="X56" i="4" s="1"/>
  <c r="X57" i="4" s="1"/>
  <c r="X58" i="4" s="1"/>
  <c r="X59" i="4" s="1"/>
  <c r="X60" i="4" s="1"/>
  <c r="X61" i="4" s="1"/>
  <c r="X62" i="4" s="1"/>
  <c r="V53" i="4"/>
  <c r="V54" i="4" s="1"/>
  <c r="V55" i="4" s="1"/>
  <c r="V56" i="4" s="1"/>
  <c r="V57" i="4" s="1"/>
  <c r="V58" i="4" s="1"/>
  <c r="V59" i="4" s="1"/>
  <c r="V60" i="4" s="1"/>
  <c r="V61" i="4" s="1"/>
  <c r="V62" i="4" s="1"/>
  <c r="T53" i="4"/>
  <c r="T54" i="4" s="1"/>
  <c r="T55" i="4" s="1"/>
  <c r="T56" i="4" s="1"/>
  <c r="T57" i="4" s="1"/>
  <c r="T58" i="4" s="1"/>
  <c r="T59" i="4" s="1"/>
  <c r="T60" i="4" s="1"/>
  <c r="T61" i="4" s="1"/>
  <c r="T62" i="4" s="1"/>
  <c r="R53" i="4"/>
  <c r="R54" i="4" s="1"/>
  <c r="R55" i="4" s="1"/>
  <c r="R56" i="4" s="1"/>
  <c r="R57" i="4" s="1"/>
  <c r="R58" i="4" s="1"/>
  <c r="R59" i="4" s="1"/>
  <c r="R60" i="4" s="1"/>
  <c r="R61" i="4" s="1"/>
  <c r="R62" i="4" s="1"/>
  <c r="P53" i="4"/>
  <c r="P54" i="4" s="1"/>
  <c r="P55" i="4" s="1"/>
  <c r="P56" i="4" s="1"/>
  <c r="P57" i="4" s="1"/>
  <c r="P58" i="4" s="1"/>
  <c r="P59" i="4" s="1"/>
  <c r="P60" i="4" s="1"/>
  <c r="P61" i="4" s="1"/>
  <c r="P62" i="4" s="1"/>
  <c r="N53" i="4"/>
  <c r="N54" i="4" s="1"/>
  <c r="N55" i="4" s="1"/>
  <c r="N56" i="4" s="1"/>
  <c r="N57" i="4" s="1"/>
  <c r="N58" i="4" s="1"/>
  <c r="N59" i="4" s="1"/>
  <c r="N60" i="4" s="1"/>
  <c r="N61" i="4" s="1"/>
  <c r="N62" i="4" s="1"/>
  <c r="L53" i="4"/>
  <c r="L54" i="4" s="1"/>
  <c r="L55" i="4" s="1"/>
  <c r="L56" i="4" s="1"/>
  <c r="L57" i="4" s="1"/>
  <c r="L58" i="4" s="1"/>
  <c r="L59" i="4" s="1"/>
  <c r="L60" i="4" s="1"/>
  <c r="L61" i="4" s="1"/>
  <c r="L62" i="4" s="1"/>
  <c r="J53" i="4"/>
  <c r="J54" i="4" s="1"/>
  <c r="J55" i="4" s="1"/>
  <c r="J56" i="4" s="1"/>
  <c r="J57" i="4" s="1"/>
  <c r="J58" i="4" s="1"/>
  <c r="J59" i="4" s="1"/>
  <c r="J60" i="4" s="1"/>
  <c r="J61" i="4" s="1"/>
  <c r="J62" i="4" s="1"/>
  <c r="H53" i="4"/>
  <c r="H54" i="4" s="1"/>
  <c r="H55" i="4" s="1"/>
  <c r="H56" i="4" s="1"/>
  <c r="H57" i="4" s="1"/>
  <c r="H58" i="4" s="1"/>
  <c r="H59" i="4" s="1"/>
  <c r="H60" i="4" s="1"/>
  <c r="H61" i="4" s="1"/>
  <c r="H62" i="4" s="1"/>
  <c r="F53" i="4"/>
  <c r="F54" i="4" s="1"/>
  <c r="F55" i="4" s="1"/>
  <c r="F56" i="4" s="1"/>
  <c r="F57" i="4" s="1"/>
  <c r="F58" i="4" s="1"/>
  <c r="F59" i="4" s="1"/>
  <c r="F60" i="4" s="1"/>
  <c r="F61" i="4" s="1"/>
  <c r="F62" i="4" s="1"/>
  <c r="D53" i="4"/>
  <c r="D54" i="4" s="1"/>
  <c r="D55" i="4" s="1"/>
  <c r="D56" i="4" s="1"/>
  <c r="D57" i="4" s="1"/>
  <c r="D58" i="4" s="1"/>
  <c r="D59" i="4" s="1"/>
  <c r="D60" i="4" s="1"/>
  <c r="D61" i="4" s="1"/>
  <c r="D62" i="4" s="1"/>
  <c r="AG43" i="4"/>
  <c r="AE43" i="4"/>
  <c r="AC43" i="4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H33" i="4"/>
  <c r="AH34" i="4" s="1"/>
  <c r="AH35" i="4" s="1"/>
  <c r="AH36" i="4" s="1"/>
  <c r="AH37" i="4" s="1"/>
  <c r="AH38" i="4" s="1"/>
  <c r="AH39" i="4" s="1"/>
  <c r="AH40" i="4" s="1"/>
  <c r="AH41" i="4" s="1"/>
  <c r="AH42" i="4" s="1"/>
  <c r="AF33" i="4"/>
  <c r="AF34" i="4" s="1"/>
  <c r="AF35" i="4" s="1"/>
  <c r="AF36" i="4" s="1"/>
  <c r="AF37" i="4" s="1"/>
  <c r="AF38" i="4" s="1"/>
  <c r="AF39" i="4" s="1"/>
  <c r="AF40" i="4" s="1"/>
  <c r="AF41" i="4" s="1"/>
  <c r="AF42" i="4" s="1"/>
  <c r="AD33" i="4"/>
  <c r="AD34" i="4" s="1"/>
  <c r="AD35" i="4" s="1"/>
  <c r="AD36" i="4" s="1"/>
  <c r="AD37" i="4" s="1"/>
  <c r="AD38" i="4" s="1"/>
  <c r="AD39" i="4" s="1"/>
  <c r="AD40" i="4" s="1"/>
  <c r="AD41" i="4" s="1"/>
  <c r="AD42" i="4" s="1"/>
  <c r="AB33" i="4"/>
  <c r="AB34" i="4" s="1"/>
  <c r="AB35" i="4" s="1"/>
  <c r="AB36" i="4" s="1"/>
  <c r="AB37" i="4" s="1"/>
  <c r="AB38" i="4" s="1"/>
  <c r="AB39" i="4" s="1"/>
  <c r="AB40" i="4" s="1"/>
  <c r="AB41" i="4" s="1"/>
  <c r="AB42" i="4" s="1"/>
  <c r="Z33" i="4"/>
  <c r="Z34" i="4" s="1"/>
  <c r="Z35" i="4" s="1"/>
  <c r="Z36" i="4" s="1"/>
  <c r="Z37" i="4" s="1"/>
  <c r="Z38" i="4" s="1"/>
  <c r="Z39" i="4" s="1"/>
  <c r="Z40" i="4" s="1"/>
  <c r="Z41" i="4" s="1"/>
  <c r="Z42" i="4" s="1"/>
  <c r="X33" i="4"/>
  <c r="X34" i="4" s="1"/>
  <c r="X35" i="4" s="1"/>
  <c r="X36" i="4" s="1"/>
  <c r="X37" i="4" s="1"/>
  <c r="X38" i="4" s="1"/>
  <c r="X39" i="4" s="1"/>
  <c r="X40" i="4" s="1"/>
  <c r="X41" i="4" s="1"/>
  <c r="X42" i="4" s="1"/>
  <c r="V33" i="4"/>
  <c r="V34" i="4" s="1"/>
  <c r="V35" i="4" s="1"/>
  <c r="V36" i="4" s="1"/>
  <c r="V37" i="4" s="1"/>
  <c r="V38" i="4" s="1"/>
  <c r="V39" i="4" s="1"/>
  <c r="V40" i="4" s="1"/>
  <c r="V41" i="4" s="1"/>
  <c r="V42" i="4" s="1"/>
  <c r="T33" i="4"/>
  <c r="T34" i="4" s="1"/>
  <c r="T35" i="4" s="1"/>
  <c r="T36" i="4" s="1"/>
  <c r="T37" i="4" s="1"/>
  <c r="T38" i="4" s="1"/>
  <c r="T39" i="4" s="1"/>
  <c r="T40" i="4" s="1"/>
  <c r="T41" i="4" s="1"/>
  <c r="T42" i="4" s="1"/>
  <c r="R33" i="4"/>
  <c r="R34" i="4" s="1"/>
  <c r="R35" i="4" s="1"/>
  <c r="R36" i="4" s="1"/>
  <c r="R37" i="4" s="1"/>
  <c r="R38" i="4" s="1"/>
  <c r="R39" i="4" s="1"/>
  <c r="R40" i="4" s="1"/>
  <c r="R41" i="4" s="1"/>
  <c r="R42" i="4" s="1"/>
  <c r="P33" i="4"/>
  <c r="P34" i="4" s="1"/>
  <c r="P35" i="4" s="1"/>
  <c r="P36" i="4" s="1"/>
  <c r="P37" i="4" s="1"/>
  <c r="P38" i="4" s="1"/>
  <c r="P39" i="4" s="1"/>
  <c r="P40" i="4" s="1"/>
  <c r="P41" i="4" s="1"/>
  <c r="P42" i="4" s="1"/>
  <c r="N33" i="4"/>
  <c r="N34" i="4" s="1"/>
  <c r="N35" i="4" s="1"/>
  <c r="N36" i="4" s="1"/>
  <c r="N37" i="4" s="1"/>
  <c r="N38" i="4" s="1"/>
  <c r="N39" i="4" s="1"/>
  <c r="N40" i="4" s="1"/>
  <c r="N41" i="4" s="1"/>
  <c r="N42" i="4" s="1"/>
  <c r="L33" i="4"/>
  <c r="L34" i="4" s="1"/>
  <c r="L35" i="4" s="1"/>
  <c r="L36" i="4" s="1"/>
  <c r="L37" i="4" s="1"/>
  <c r="L38" i="4" s="1"/>
  <c r="L39" i="4" s="1"/>
  <c r="L40" i="4" s="1"/>
  <c r="L41" i="4" s="1"/>
  <c r="L42" i="4" s="1"/>
  <c r="J33" i="4"/>
  <c r="J34" i="4" s="1"/>
  <c r="J35" i="4" s="1"/>
  <c r="J36" i="4" s="1"/>
  <c r="J37" i="4" s="1"/>
  <c r="J38" i="4" s="1"/>
  <c r="J39" i="4" s="1"/>
  <c r="J40" i="4" s="1"/>
  <c r="J41" i="4" s="1"/>
  <c r="J42" i="4" s="1"/>
  <c r="H33" i="4"/>
  <c r="H34" i="4" s="1"/>
  <c r="H35" i="4" s="1"/>
  <c r="H36" i="4" s="1"/>
  <c r="H37" i="4" s="1"/>
  <c r="H38" i="4" s="1"/>
  <c r="H39" i="4" s="1"/>
  <c r="H40" i="4" s="1"/>
  <c r="H41" i="4" s="1"/>
  <c r="H42" i="4" s="1"/>
  <c r="F33" i="4"/>
  <c r="F34" i="4" s="1"/>
  <c r="F35" i="4" s="1"/>
  <c r="F36" i="4" s="1"/>
  <c r="F37" i="4" s="1"/>
  <c r="F38" i="4" s="1"/>
  <c r="F39" i="4" s="1"/>
  <c r="F40" i="4" s="1"/>
  <c r="F41" i="4" s="1"/>
  <c r="F42" i="4" s="1"/>
  <c r="D33" i="4"/>
  <c r="D34" i="4" s="1"/>
  <c r="D35" i="4" s="1"/>
  <c r="D36" i="4" s="1"/>
  <c r="D37" i="4" s="1"/>
  <c r="D38" i="4" s="1"/>
  <c r="D39" i="4" s="1"/>
  <c r="D40" i="4" s="1"/>
  <c r="D41" i="4" s="1"/>
  <c r="D42" i="4" s="1"/>
  <c r="AG25" i="4"/>
  <c r="AE25" i="4"/>
  <c r="AC25" i="4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H15" i="4"/>
  <c r="AH16" i="4" s="1"/>
  <c r="AH17" i="4" s="1"/>
  <c r="AH18" i="4" s="1"/>
  <c r="AH19" i="4" s="1"/>
  <c r="AH20" i="4" s="1"/>
  <c r="AH21" i="4" s="1"/>
  <c r="AH22" i="4" s="1"/>
  <c r="AH23" i="4" s="1"/>
  <c r="AH24" i="4" s="1"/>
  <c r="AF15" i="4"/>
  <c r="AF16" i="4" s="1"/>
  <c r="AF17" i="4" s="1"/>
  <c r="AF18" i="4" s="1"/>
  <c r="AF19" i="4" s="1"/>
  <c r="AF20" i="4" s="1"/>
  <c r="AF21" i="4" s="1"/>
  <c r="AF22" i="4" s="1"/>
  <c r="AF23" i="4" s="1"/>
  <c r="AF24" i="4" s="1"/>
  <c r="AD15" i="4"/>
  <c r="AD16" i="4" s="1"/>
  <c r="AD17" i="4" s="1"/>
  <c r="AD18" i="4" s="1"/>
  <c r="AD19" i="4" s="1"/>
  <c r="AD20" i="4" s="1"/>
  <c r="AD21" i="4" s="1"/>
  <c r="AD22" i="4" s="1"/>
  <c r="AD23" i="4" s="1"/>
  <c r="AD24" i="4" s="1"/>
  <c r="AB15" i="4"/>
  <c r="AB16" i="4" s="1"/>
  <c r="AB17" i="4" s="1"/>
  <c r="AB18" i="4" s="1"/>
  <c r="AB19" i="4" s="1"/>
  <c r="AB20" i="4" s="1"/>
  <c r="AB21" i="4" s="1"/>
  <c r="AB22" i="4" s="1"/>
  <c r="AB23" i="4" s="1"/>
  <c r="AB24" i="4" s="1"/>
  <c r="Z15" i="4"/>
  <c r="Z16" i="4" s="1"/>
  <c r="Z17" i="4" s="1"/>
  <c r="Z18" i="4" s="1"/>
  <c r="Z19" i="4" s="1"/>
  <c r="Z20" i="4" s="1"/>
  <c r="Z21" i="4" s="1"/>
  <c r="Z22" i="4" s="1"/>
  <c r="Z23" i="4" s="1"/>
  <c r="Z24" i="4" s="1"/>
  <c r="X15" i="4"/>
  <c r="X16" i="4" s="1"/>
  <c r="X17" i="4" s="1"/>
  <c r="X18" i="4" s="1"/>
  <c r="X19" i="4" s="1"/>
  <c r="X20" i="4" s="1"/>
  <c r="X21" i="4" s="1"/>
  <c r="X22" i="4" s="1"/>
  <c r="X23" i="4" s="1"/>
  <c r="X24" i="4" s="1"/>
  <c r="V15" i="4"/>
  <c r="V16" i="4" s="1"/>
  <c r="V17" i="4" s="1"/>
  <c r="V18" i="4" s="1"/>
  <c r="V19" i="4" s="1"/>
  <c r="V20" i="4" s="1"/>
  <c r="V21" i="4" s="1"/>
  <c r="V22" i="4" s="1"/>
  <c r="V23" i="4" s="1"/>
  <c r="V24" i="4" s="1"/>
  <c r="T15" i="4"/>
  <c r="T16" i="4" s="1"/>
  <c r="T17" i="4" s="1"/>
  <c r="T18" i="4" s="1"/>
  <c r="T19" i="4" s="1"/>
  <c r="T20" i="4" s="1"/>
  <c r="T21" i="4" s="1"/>
  <c r="T22" i="4" s="1"/>
  <c r="T23" i="4" s="1"/>
  <c r="T24" i="4" s="1"/>
  <c r="R15" i="4"/>
  <c r="R16" i="4" s="1"/>
  <c r="R17" i="4" s="1"/>
  <c r="R18" i="4" s="1"/>
  <c r="R19" i="4" s="1"/>
  <c r="R20" i="4" s="1"/>
  <c r="R21" i="4" s="1"/>
  <c r="R22" i="4" s="1"/>
  <c r="R23" i="4" s="1"/>
  <c r="R24" i="4" s="1"/>
  <c r="P15" i="4"/>
  <c r="P16" i="4" s="1"/>
  <c r="P17" i="4" s="1"/>
  <c r="P18" i="4" s="1"/>
  <c r="P19" i="4" s="1"/>
  <c r="P20" i="4" s="1"/>
  <c r="P21" i="4" s="1"/>
  <c r="P22" i="4" s="1"/>
  <c r="P23" i="4" s="1"/>
  <c r="P24" i="4" s="1"/>
  <c r="N15" i="4"/>
  <c r="N16" i="4" s="1"/>
  <c r="N17" i="4" s="1"/>
  <c r="N18" i="4" s="1"/>
  <c r="N19" i="4" s="1"/>
  <c r="N20" i="4" s="1"/>
  <c r="N21" i="4" s="1"/>
  <c r="N22" i="4" s="1"/>
  <c r="N23" i="4" s="1"/>
  <c r="N24" i="4" s="1"/>
  <c r="L15" i="4"/>
  <c r="L16" i="4" s="1"/>
  <c r="L17" i="4" s="1"/>
  <c r="L18" i="4" s="1"/>
  <c r="L19" i="4" s="1"/>
  <c r="L20" i="4" s="1"/>
  <c r="L21" i="4" s="1"/>
  <c r="L22" i="4" s="1"/>
  <c r="L23" i="4" s="1"/>
  <c r="L24" i="4" s="1"/>
  <c r="J15" i="4"/>
  <c r="J16" i="4" s="1"/>
  <c r="J17" i="4" s="1"/>
  <c r="J18" i="4" s="1"/>
  <c r="J19" i="4" s="1"/>
  <c r="J20" i="4" s="1"/>
  <c r="J21" i="4" s="1"/>
  <c r="J22" i="4" s="1"/>
  <c r="J23" i="4" s="1"/>
  <c r="J24" i="4" s="1"/>
  <c r="H15" i="4"/>
  <c r="H16" i="4" s="1"/>
  <c r="H17" i="4" s="1"/>
  <c r="H18" i="4" s="1"/>
  <c r="H19" i="4" s="1"/>
  <c r="H20" i="4" s="1"/>
  <c r="H21" i="4" s="1"/>
  <c r="H22" i="4" s="1"/>
  <c r="H23" i="4" s="1"/>
  <c r="H24" i="4" s="1"/>
  <c r="F15" i="4"/>
  <c r="F16" i="4" s="1"/>
  <c r="F17" i="4" s="1"/>
  <c r="F18" i="4" s="1"/>
  <c r="F19" i="4" s="1"/>
  <c r="F20" i="4" s="1"/>
  <c r="F21" i="4" s="1"/>
  <c r="F22" i="4" s="1"/>
  <c r="F23" i="4" s="1"/>
  <c r="F24" i="4" s="1"/>
  <c r="D15" i="4"/>
  <c r="D16" i="4" s="1"/>
  <c r="D17" i="4" s="1"/>
  <c r="D18" i="4" s="1"/>
  <c r="D19" i="4" s="1"/>
  <c r="D20" i="4" s="1"/>
  <c r="D21" i="4" s="1"/>
  <c r="D22" i="4" s="1"/>
  <c r="D23" i="4" s="1"/>
  <c r="D24" i="4" s="1"/>
  <c r="B7" i="5" l="1"/>
  <c r="B6" i="5"/>
  <c r="B5" i="5"/>
  <c r="B5" i="4" l="1"/>
  <c r="B7" i="4"/>
  <c r="B6" i="4"/>
  <c r="B7" i="1" l="1"/>
  <c r="B6" i="1"/>
  <c r="B5" i="1"/>
</calcChain>
</file>

<file path=xl/sharedStrings.xml><?xml version="1.0" encoding="utf-8"?>
<sst xmlns="http://schemas.openxmlformats.org/spreadsheetml/2006/main" count="724" uniqueCount="21">
  <si>
    <t>MB012</t>
  </si>
  <si>
    <t>MB012_P</t>
  </si>
  <si>
    <t>MB024_P</t>
  </si>
  <si>
    <t>MB024</t>
  </si>
  <si>
    <t>SR MB024_P</t>
  </si>
  <si>
    <t>SR MB024</t>
  </si>
  <si>
    <t>Segment</t>
  </si>
  <si>
    <t>SUMME</t>
  </si>
  <si>
    <t>Ohne Einschränkung</t>
  </si>
  <si>
    <t>Kunde:</t>
  </si>
  <si>
    <t>Auftrag:</t>
  </si>
  <si>
    <t>Datum:</t>
  </si>
  <si>
    <t>Männer</t>
  </si>
  <si>
    <t>Üfrei zu den genannten Lieferungen</t>
  </si>
  <si>
    <t>Frauen</t>
  </si>
  <si>
    <t>75-95J.</t>
  </si>
  <si>
    <t>Echtalter</t>
  </si>
  <si>
    <t>60-75J:</t>
  </si>
  <si>
    <t>50-74J.</t>
  </si>
  <si>
    <t>Kumuliert</t>
  </si>
  <si>
    <t>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</si>
</sst>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0"/>
      <name val="Century Gothic"/>
      <family val="2"/>
    </font>
    <font>
      <b/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00659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 applyAlignment="1">
      <alignment horizontal="left"/>
    </xf>
    <xf numFmtId="3" fontId="3" fillId="2" borderId="2" xfId="0" applyNumberFormat="1" applyFont="1" applyFill="1" applyBorder="1" applyAlignment="1">
      <alignment horizontal="center" vertical="center"/>
    </xf>
    <xf numFmtId="3" fontId="2" fillId="0" borderId="2" xfId="0" applyNumberFormat="1" applyFont="1" applyBorder="1"/>
    <xf numFmtId="3" fontId="4" fillId="3" borderId="2" xfId="0" applyNumberFormat="1" applyFont="1" applyFill="1" applyBorder="1"/>
    <xf numFmtId="3" fontId="2" fillId="4" borderId="2" xfId="0" applyNumberFormat="1" applyFont="1" applyFill="1" applyBorder="1"/>
    <xf numFmtId="3" fontId="3" fillId="2" borderId="1" xfId="0" applyNumberFormat="1" applyFont="1" applyFill="1" applyBorder="1" applyAlignment="1">
      <alignment horizontal="center" vertical="center"/>
    </xf>
    <xf numFmtId="3" fontId="3" fillId="2" borderId="4" xfId="0" applyNumberFormat="1" applyFont="1" applyFill="1" applyBorder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167370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28282" cy="6303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492341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8B587888-32FC-4F5C-9981-926CC09B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32714" cy="6303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189782</xdr:colOff>
      <xdr:row>3</xdr:row>
      <xdr:rowOff>58803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AB6DE2A6-6A1D-40EB-A29A-4F71056CE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18146" cy="63030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BK\Ausz&#228;hlungen\__MASTER__-182_BK_xxx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K/Ausz&#228;hlungen/__MASTER__-182_BK_xxx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ergie"/>
      <sheetName val="REF"/>
    </sheetNames>
    <sheetDataSet>
      <sheetData sheetId="0" refreshError="1"/>
      <sheetData sheetId="1" refreshError="1">
        <row r="1">
          <cell r="A1" t="str">
            <v>AFFILIATEID</v>
          </cell>
          <cell r="B1" t="str">
            <v>NAME</v>
          </cell>
        </row>
        <row r="2">
          <cell r="A2">
            <v>1010</v>
          </cell>
          <cell r="B2" t="str">
            <v>Charles Tyrwhitt</v>
          </cell>
        </row>
        <row r="3">
          <cell r="A3">
            <v>1020</v>
          </cell>
          <cell r="B3" t="str">
            <v>Thompson &amp; Morgan</v>
          </cell>
        </row>
        <row r="4">
          <cell r="A4">
            <v>1030</v>
          </cell>
          <cell r="B4" t="str">
            <v>Bakker</v>
          </cell>
        </row>
        <row r="5">
          <cell r="A5">
            <v>1040</v>
          </cell>
          <cell r="B5" t="str">
            <v>Archiv Verlag</v>
          </cell>
        </row>
        <row r="6">
          <cell r="A6">
            <v>1051</v>
          </cell>
          <cell r="B6" t="str">
            <v>Meister Family Education</v>
          </cell>
        </row>
        <row r="7">
          <cell r="A7">
            <v>1052</v>
          </cell>
          <cell r="B7" t="str">
            <v>Meister Cooking</v>
          </cell>
        </row>
        <row r="8">
          <cell r="A8">
            <v>1053</v>
          </cell>
          <cell r="B8" t="str">
            <v>Meister Home</v>
          </cell>
        </row>
        <row r="9">
          <cell r="A9">
            <v>1054</v>
          </cell>
          <cell r="B9" t="str">
            <v>Meister Music</v>
          </cell>
        </row>
        <row r="10">
          <cell r="A10">
            <v>1055</v>
          </cell>
          <cell r="B10" t="str">
            <v>Meister Kids</v>
          </cell>
        </row>
        <row r="11">
          <cell r="A11">
            <v>1056</v>
          </cell>
          <cell r="B11" t="str">
            <v>Meister Gardening</v>
          </cell>
        </row>
        <row r="12">
          <cell r="A12">
            <v>1057</v>
          </cell>
          <cell r="B12" t="str">
            <v>Meister Health</v>
          </cell>
        </row>
        <row r="13">
          <cell r="A13">
            <v>1058</v>
          </cell>
          <cell r="B13" t="str">
            <v>Meister PC</v>
          </cell>
        </row>
        <row r="14">
          <cell r="A14">
            <v>1059</v>
          </cell>
          <cell r="B14" t="str">
            <v>Meister do not use</v>
          </cell>
        </row>
        <row r="15">
          <cell r="A15">
            <v>1060</v>
          </cell>
          <cell r="B15" t="str">
            <v>Hagen Grote</v>
          </cell>
        </row>
        <row r="16">
          <cell r="A16">
            <v>1080</v>
          </cell>
          <cell r="B16" t="str">
            <v>BMK</v>
          </cell>
        </row>
        <row r="17">
          <cell r="A17">
            <v>1081</v>
          </cell>
          <cell r="B17" t="str">
            <v>Aura Natura</v>
          </cell>
        </row>
        <row r="18">
          <cell r="A18">
            <v>1082</v>
          </cell>
          <cell r="B18" t="str">
            <v>Goldkontor</v>
          </cell>
        </row>
        <row r="19">
          <cell r="A19">
            <v>1083</v>
          </cell>
          <cell r="B19" t="str">
            <v>Eldora</v>
          </cell>
        </row>
        <row r="20">
          <cell r="A20">
            <v>1090</v>
          </cell>
          <cell r="B20" t="str">
            <v>Shipton &amp; Heneage</v>
          </cell>
        </row>
        <row r="21">
          <cell r="A21">
            <v>1100</v>
          </cell>
          <cell r="B21" t="str">
            <v>Promondo</v>
          </cell>
        </row>
        <row r="22">
          <cell r="A22">
            <v>1110</v>
          </cell>
          <cell r="B22" t="str">
            <v>Early Advantage</v>
          </cell>
        </row>
        <row r="23">
          <cell r="A23">
            <v>1130</v>
          </cell>
          <cell r="B23" t="str">
            <v>Tip Direkt</v>
          </cell>
        </row>
        <row r="24">
          <cell r="A24">
            <v>1160</v>
          </cell>
          <cell r="B24" t="str">
            <v>AIN</v>
          </cell>
        </row>
        <row r="25">
          <cell r="A25">
            <v>1180</v>
          </cell>
          <cell r="B25" t="str">
            <v>Schneider Impressionen</v>
          </cell>
        </row>
        <row r="26">
          <cell r="A26">
            <v>1181</v>
          </cell>
          <cell r="B26" t="str">
            <v>Schneider Discovery/Faibels</v>
          </cell>
        </row>
        <row r="27">
          <cell r="A27">
            <v>1182</v>
          </cell>
          <cell r="B27" t="str">
            <v>Conley's Modekontor GmbH</v>
          </cell>
        </row>
        <row r="28">
          <cell r="A28">
            <v>1183</v>
          </cell>
          <cell r="B28" t="str">
            <v>MiaVilla, PM Product Management GmbH</v>
          </cell>
        </row>
        <row r="29">
          <cell r="A29">
            <v>1221</v>
          </cell>
          <cell r="B29" t="str">
            <v>Optima - Heimsport</v>
          </cell>
        </row>
        <row r="30">
          <cell r="A30">
            <v>1222</v>
          </cell>
          <cell r="B30" t="str">
            <v>Optima - sine tempore</v>
          </cell>
        </row>
        <row r="31">
          <cell r="A31">
            <v>1223</v>
          </cell>
          <cell r="B31" t="str">
            <v>Optima - Friedrich Kroté</v>
          </cell>
        </row>
        <row r="32">
          <cell r="A32">
            <v>1241</v>
          </cell>
          <cell r="B32" t="str">
            <v>Euroshopping Deutschland Schöner Leben</v>
          </cell>
        </row>
        <row r="33">
          <cell r="A33">
            <v>1242</v>
          </cell>
          <cell r="B33" t="str">
            <v>Euroshopping Deutschland Janus</v>
          </cell>
        </row>
        <row r="34">
          <cell r="A34">
            <v>1243</v>
          </cell>
          <cell r="B34" t="str">
            <v>Salvebis Deutschland Bela Vita</v>
          </cell>
        </row>
        <row r="35">
          <cell r="A35">
            <v>1244</v>
          </cell>
          <cell r="B35" t="str">
            <v>Salvebis Deutschland KlosterMarienquell</v>
          </cell>
        </row>
        <row r="36">
          <cell r="A36">
            <v>1245</v>
          </cell>
          <cell r="B36" t="str">
            <v>Intercash 1a Versand</v>
          </cell>
        </row>
        <row r="37">
          <cell r="A37">
            <v>1246</v>
          </cell>
          <cell r="B37" t="str">
            <v>Pantador Deutschland USBoston</v>
          </cell>
        </row>
        <row r="38">
          <cell r="A38">
            <v>1247</v>
          </cell>
          <cell r="B38" t="str">
            <v>Fit &amp; Vital</v>
          </cell>
        </row>
        <row r="39">
          <cell r="A39">
            <v>1248</v>
          </cell>
          <cell r="B39" t="str">
            <v>5th Avenua</v>
          </cell>
        </row>
        <row r="40">
          <cell r="A40">
            <v>1249</v>
          </cell>
          <cell r="B40" t="str">
            <v>Pantador Deutschland Welt d. Verführung</v>
          </cell>
        </row>
        <row r="41">
          <cell r="A41">
            <v>1250</v>
          </cell>
          <cell r="B41" t="str">
            <v>Euroshopping Deutschland Aqua Vitalis</v>
          </cell>
        </row>
        <row r="42">
          <cell r="A42">
            <v>1251</v>
          </cell>
          <cell r="B42" t="str">
            <v>Ern International bvba Buy-ern.de</v>
          </cell>
        </row>
        <row r="43">
          <cell r="A43">
            <v>1260</v>
          </cell>
          <cell r="B43" t="str">
            <v>WIV</v>
          </cell>
        </row>
        <row r="44">
          <cell r="A44">
            <v>1261</v>
          </cell>
          <cell r="B44" t="str">
            <v>WIV Alt Kreuznach</v>
          </cell>
        </row>
        <row r="45">
          <cell r="A45">
            <v>1262</v>
          </cell>
          <cell r="B45" t="str">
            <v>WIV Graf von Zedlitz</v>
          </cell>
        </row>
        <row r="46">
          <cell r="A46">
            <v>1263</v>
          </cell>
          <cell r="B46" t="str">
            <v>WIV Wein 24</v>
          </cell>
        </row>
        <row r="47">
          <cell r="A47">
            <v>1264</v>
          </cell>
          <cell r="B47" t="str">
            <v>WIV Weingalerie Weikersheim</v>
          </cell>
        </row>
        <row r="48">
          <cell r="A48">
            <v>1265</v>
          </cell>
          <cell r="B48" t="str">
            <v>WIV Plettenberg</v>
          </cell>
        </row>
        <row r="49">
          <cell r="A49">
            <v>1266</v>
          </cell>
          <cell r="B49" t="str">
            <v>WIV Pieroth</v>
          </cell>
        </row>
        <row r="50">
          <cell r="A50">
            <v>1267</v>
          </cell>
          <cell r="B50" t="str">
            <v>WIV Reichsgraf von Ingelheim</v>
          </cell>
        </row>
        <row r="51">
          <cell r="A51">
            <v>1320</v>
          </cell>
          <cell r="B51" t="str">
            <v>Lottogemeinschaft Südwest GmbH</v>
          </cell>
        </row>
        <row r="52">
          <cell r="A52">
            <v>1340</v>
          </cell>
          <cell r="B52" t="str">
            <v>CleverCat Katzenartikel</v>
          </cell>
        </row>
        <row r="53">
          <cell r="A53">
            <v>1360</v>
          </cell>
          <cell r="B53" t="str">
            <v>Eurodiscount/Aliva</v>
          </cell>
        </row>
        <row r="54">
          <cell r="A54">
            <v>1370</v>
          </cell>
          <cell r="B54" t="str">
            <v>Hawesko</v>
          </cell>
        </row>
        <row r="55">
          <cell r="A55">
            <v>1371</v>
          </cell>
          <cell r="B55" t="str">
            <v>Hawesko - Weinkatalog</v>
          </cell>
        </row>
        <row r="56">
          <cell r="A56">
            <v>1372</v>
          </cell>
          <cell r="B56" t="str">
            <v>Hawesko - Präsent</v>
          </cell>
        </row>
        <row r="57">
          <cell r="A57">
            <v>1373</v>
          </cell>
          <cell r="B57" t="str">
            <v>Hawesko - Subs</v>
          </cell>
        </row>
        <row r="58">
          <cell r="A58">
            <v>1374</v>
          </cell>
          <cell r="B58" t="str">
            <v>Hawesko - Vino Select</v>
          </cell>
        </row>
        <row r="59">
          <cell r="A59">
            <v>1375</v>
          </cell>
          <cell r="B59" t="str">
            <v>Hawesko - Weindirekt</v>
          </cell>
        </row>
        <row r="60">
          <cell r="A60">
            <v>1401</v>
          </cell>
          <cell r="B60" t="str">
            <v>Tien Classic</v>
          </cell>
        </row>
        <row r="61">
          <cell r="A61">
            <v>1402</v>
          </cell>
          <cell r="B61" t="str">
            <v>Tien Sonstige</v>
          </cell>
        </row>
        <row r="62">
          <cell r="A62">
            <v>1440</v>
          </cell>
          <cell r="B62" t="str">
            <v>Stabenfeldt GmbH</v>
          </cell>
        </row>
        <row r="63">
          <cell r="A63">
            <v>1450</v>
          </cell>
          <cell r="B63" t="str">
            <v>Torquato</v>
          </cell>
        </row>
        <row r="64">
          <cell r="A64">
            <v>1470</v>
          </cell>
          <cell r="B64" t="str">
            <v>Domoti</v>
          </cell>
        </row>
        <row r="65">
          <cell r="A65">
            <v>1530</v>
          </cell>
          <cell r="B65" t="str">
            <v>Braun Lotto Service</v>
          </cell>
        </row>
        <row r="66">
          <cell r="A66">
            <v>1570</v>
          </cell>
          <cell r="B66" t="str">
            <v>The Cashmere Company</v>
          </cell>
        </row>
        <row r="67">
          <cell r="A67">
            <v>1580</v>
          </cell>
          <cell r="B67" t="str">
            <v>Schuler</v>
          </cell>
        </row>
        <row r="68">
          <cell r="A68">
            <v>1610</v>
          </cell>
          <cell r="B68" t="str">
            <v>Reppa GmbH</v>
          </cell>
        </row>
        <row r="69">
          <cell r="A69">
            <v>1640</v>
          </cell>
          <cell r="B69" t="str">
            <v>Business to Business</v>
          </cell>
        </row>
        <row r="70">
          <cell r="A70">
            <v>1650</v>
          </cell>
          <cell r="B70" t="str">
            <v>Winter's Wein Direkt</v>
          </cell>
        </row>
        <row r="71">
          <cell r="A71">
            <v>1660</v>
          </cell>
          <cell r="B71" t="str">
            <v>Uncle Sam GmbH</v>
          </cell>
        </row>
        <row r="72">
          <cell r="A72">
            <v>1670</v>
          </cell>
          <cell r="B72" t="str">
            <v>CO'MED</v>
          </cell>
        </row>
        <row r="73">
          <cell r="A73">
            <v>1680</v>
          </cell>
          <cell r="B73" t="str">
            <v>Acoustic Music</v>
          </cell>
        </row>
        <row r="74">
          <cell r="A74">
            <v>1690</v>
          </cell>
          <cell r="B74" t="str">
            <v>Viabiona (Alt) - Vitaminshop</v>
          </cell>
        </row>
        <row r="75">
          <cell r="A75">
            <v>1720</v>
          </cell>
          <cell r="B75" t="str">
            <v>David Nieper Limited</v>
          </cell>
        </row>
        <row r="76">
          <cell r="A76">
            <v>1730</v>
          </cell>
          <cell r="B76" t="str">
            <v>Giordano</v>
          </cell>
        </row>
        <row r="77">
          <cell r="A77">
            <v>1790</v>
          </cell>
          <cell r="B77" t="str">
            <v>Scharpf Alarmsysteme</v>
          </cell>
        </row>
        <row r="78">
          <cell r="A78">
            <v>1800</v>
          </cell>
          <cell r="B78" t="str">
            <v>Technogym Germany</v>
          </cell>
        </row>
        <row r="79">
          <cell r="A79">
            <v>1810</v>
          </cell>
          <cell r="B79" t="str">
            <v>World of Western</v>
          </cell>
        </row>
        <row r="80">
          <cell r="A80">
            <v>1811</v>
          </cell>
          <cell r="B80" t="str">
            <v>FOX Discount</v>
          </cell>
        </row>
        <row r="81">
          <cell r="A81">
            <v>1812</v>
          </cell>
          <cell r="B81" t="str">
            <v>Beruf-Herrenausstatter</v>
          </cell>
        </row>
        <row r="82">
          <cell r="A82">
            <v>1820</v>
          </cell>
          <cell r="B82" t="str">
            <v>Spezialitätenhaus</v>
          </cell>
        </row>
        <row r="83">
          <cell r="A83">
            <v>1830</v>
          </cell>
          <cell r="B83" t="str">
            <v>M&amp;K Kunst-Verlags GmbH</v>
          </cell>
        </row>
        <row r="84">
          <cell r="A84">
            <v>1840</v>
          </cell>
          <cell r="B84" t="str">
            <v>Caviar House &amp; Prunier GmbH</v>
          </cell>
        </row>
        <row r="85">
          <cell r="A85">
            <v>1870</v>
          </cell>
          <cell r="B85" t="str">
            <v>Damart Swiss AG</v>
          </cell>
        </row>
        <row r="86">
          <cell r="A86">
            <v>1880</v>
          </cell>
          <cell r="B86" t="str">
            <v>Ch. Abramowicz</v>
          </cell>
        </row>
        <row r="87">
          <cell r="A87">
            <v>1890</v>
          </cell>
          <cell r="B87" t="str">
            <v>lineaRiva</v>
          </cell>
        </row>
        <row r="88">
          <cell r="A88">
            <v>1910</v>
          </cell>
          <cell r="B88" t="str">
            <v>Bärbel Drexel Versand GmbH</v>
          </cell>
        </row>
        <row r="89">
          <cell r="A89">
            <v>1920</v>
          </cell>
          <cell r="B89" t="str">
            <v>Bogner</v>
          </cell>
        </row>
        <row r="90">
          <cell r="A90">
            <v>1921</v>
          </cell>
          <cell r="B90" t="str">
            <v>Bogner Retail</v>
          </cell>
        </row>
        <row r="91">
          <cell r="A91">
            <v>1922</v>
          </cell>
          <cell r="B91" t="str">
            <v>Bogner BHS</v>
          </cell>
        </row>
        <row r="92">
          <cell r="A92">
            <v>1940</v>
          </cell>
          <cell r="B92" t="str">
            <v>app - Vital Plus</v>
          </cell>
        </row>
        <row r="93">
          <cell r="A93">
            <v>1941</v>
          </cell>
          <cell r="B93" t="str">
            <v>app - MacClever</v>
          </cell>
        </row>
        <row r="94">
          <cell r="A94">
            <v>1942</v>
          </cell>
          <cell r="B94" t="str">
            <v>app - Glücksbringer</v>
          </cell>
        </row>
        <row r="95">
          <cell r="A95">
            <v>1950</v>
          </cell>
          <cell r="B95" t="str">
            <v>Dr. Wagner Versand GmbH</v>
          </cell>
        </row>
        <row r="96">
          <cell r="A96">
            <v>1960</v>
          </cell>
          <cell r="B96" t="str">
            <v>Wilhelm Egle</v>
          </cell>
        </row>
        <row r="97">
          <cell r="A97">
            <v>1980</v>
          </cell>
          <cell r="B97" t="str">
            <v>Süd-West Versand GmbH</v>
          </cell>
        </row>
        <row r="98">
          <cell r="A98">
            <v>1990</v>
          </cell>
          <cell r="B98" t="str">
            <v>Dr. Steinfels Sprachreisen GmbH</v>
          </cell>
        </row>
        <row r="99">
          <cell r="A99">
            <v>2000</v>
          </cell>
          <cell r="B99" t="str">
            <v xml:space="preserve">Dr. Hall </v>
          </cell>
        </row>
        <row r="100">
          <cell r="A100">
            <v>2010</v>
          </cell>
          <cell r="B100" t="str">
            <v>Schirner Verlag KG</v>
          </cell>
        </row>
        <row r="101">
          <cell r="A101">
            <v>2020</v>
          </cell>
          <cell r="B101" t="str">
            <v>ZHEF AG</v>
          </cell>
        </row>
        <row r="102">
          <cell r="A102">
            <v>2030</v>
          </cell>
          <cell r="B102" t="str">
            <v>Wood Steel &amp; More GmbH</v>
          </cell>
        </row>
        <row r="103">
          <cell r="A103">
            <v>2050</v>
          </cell>
          <cell r="B103" t="str">
            <v>Supplementa Holland B.V.</v>
          </cell>
        </row>
        <row r="104">
          <cell r="A104">
            <v>2060</v>
          </cell>
          <cell r="B104" t="str">
            <v>Aubrey-Organics GmbH</v>
          </cell>
        </row>
        <row r="105">
          <cell r="A105">
            <v>2080</v>
          </cell>
          <cell r="B105" t="str">
            <v>Richard Borek GmbH &amp; Co. KG</v>
          </cell>
        </row>
        <row r="106">
          <cell r="A106">
            <v>2081</v>
          </cell>
          <cell r="B106" t="str">
            <v>Lebegut</v>
          </cell>
        </row>
        <row r="107">
          <cell r="A107">
            <v>2100</v>
          </cell>
          <cell r="B107" t="str">
            <v>Triaz GmbH - Panda</v>
          </cell>
        </row>
        <row r="108">
          <cell r="A108">
            <v>2101</v>
          </cell>
          <cell r="B108" t="str">
            <v>Triaz GmbH - Vivanda</v>
          </cell>
        </row>
        <row r="109">
          <cell r="A109">
            <v>2102</v>
          </cell>
          <cell r="B109" t="str">
            <v>Triaz GmbH - Waschbär</v>
          </cell>
        </row>
        <row r="110">
          <cell r="A110">
            <v>2111</v>
          </cell>
          <cell r="B110" t="str">
            <v>FID Verlag - Gesundheit</v>
          </cell>
        </row>
        <row r="111">
          <cell r="A111">
            <v>2112</v>
          </cell>
          <cell r="B111" t="str">
            <v>FID Verlag - Erfolg</v>
          </cell>
        </row>
        <row r="112">
          <cell r="A112">
            <v>2113</v>
          </cell>
          <cell r="B112" t="str">
            <v>FID Verlag - Elternwissen</v>
          </cell>
        </row>
        <row r="113">
          <cell r="A113">
            <v>2114</v>
          </cell>
          <cell r="B113" t="str">
            <v>FID Verlag - Investor</v>
          </cell>
        </row>
        <row r="114">
          <cell r="A114">
            <v>2120</v>
          </cell>
          <cell r="B114" t="str">
            <v>The Bradford Exchange Ltd.</v>
          </cell>
        </row>
        <row r="115">
          <cell r="A115">
            <v>2130</v>
          </cell>
          <cell r="B115" t="str">
            <v>Lego Company</v>
          </cell>
        </row>
        <row r="116">
          <cell r="A116">
            <v>2150</v>
          </cell>
          <cell r="B116" t="str">
            <v>Geschenke mit Namen Versand GmbH</v>
          </cell>
        </row>
        <row r="117">
          <cell r="A117">
            <v>2160</v>
          </cell>
          <cell r="B117" t="str">
            <v>Rieger Kfz-Kunststoffteile Design  GmbH</v>
          </cell>
        </row>
        <row r="118">
          <cell r="A118">
            <v>2180</v>
          </cell>
          <cell r="B118" t="str">
            <v>Büchergilde Gutenberg</v>
          </cell>
        </row>
        <row r="119">
          <cell r="A119">
            <v>2190</v>
          </cell>
          <cell r="B119" t="str">
            <v>J.P. Boden &amp; Co. Ltd.</v>
          </cell>
        </row>
        <row r="120">
          <cell r="A120">
            <v>2201</v>
          </cell>
          <cell r="B120" t="str">
            <v>Hobbyfabrik Kreuzstich</v>
          </cell>
        </row>
        <row r="121">
          <cell r="A121">
            <v>2210</v>
          </cell>
          <cell r="B121" t="str">
            <v>Verlag für die Deutsche Wirtschaft AG</v>
          </cell>
        </row>
        <row r="122">
          <cell r="A122">
            <v>2211</v>
          </cell>
          <cell r="B122" t="str">
            <v>Simplify</v>
          </cell>
        </row>
        <row r="123">
          <cell r="A123">
            <v>2212</v>
          </cell>
          <cell r="B123" t="str">
            <v>Orgenda</v>
          </cell>
        </row>
        <row r="124">
          <cell r="A124">
            <v>2213</v>
          </cell>
          <cell r="B124" t="str">
            <v>Computerwissen Senioren</v>
          </cell>
        </row>
        <row r="125">
          <cell r="A125">
            <v>2214</v>
          </cell>
          <cell r="B125" t="str">
            <v>Privatinvestoren / Geld und Finanz</v>
          </cell>
        </row>
        <row r="126">
          <cell r="A126">
            <v>2215</v>
          </cell>
          <cell r="B126" t="str">
            <v>Etikette</v>
          </cell>
        </row>
        <row r="127">
          <cell r="A127">
            <v>2216</v>
          </cell>
          <cell r="B127" t="str">
            <v>Der Sprachstil Rundbrief</v>
          </cell>
        </row>
        <row r="128">
          <cell r="A128">
            <v>2217</v>
          </cell>
          <cell r="B128" t="str">
            <v>Windows</v>
          </cell>
        </row>
        <row r="129">
          <cell r="A129">
            <v>2240</v>
          </cell>
          <cell r="B129" t="str">
            <v>Gebrüder götz GmbH</v>
          </cell>
        </row>
        <row r="130">
          <cell r="A130">
            <v>2250</v>
          </cell>
          <cell r="B130" t="str">
            <v>Carl Ed. Schünemann KG</v>
          </cell>
        </row>
        <row r="131">
          <cell r="A131">
            <v>2270</v>
          </cell>
          <cell r="B131" t="str">
            <v>bild der wissenschaft shop</v>
          </cell>
        </row>
        <row r="132">
          <cell r="A132">
            <v>2290</v>
          </cell>
          <cell r="B132" t="str">
            <v xml:space="preserve">Conterna Versand GmbH </v>
          </cell>
        </row>
        <row r="133">
          <cell r="A133">
            <v>2320</v>
          </cell>
          <cell r="B133" t="str">
            <v>MDM Münzhandelsgesellschaft mbH</v>
          </cell>
        </row>
        <row r="134">
          <cell r="A134">
            <v>2341</v>
          </cell>
          <cell r="B134" t="str">
            <v>Natur &amp; Tiere</v>
          </cell>
        </row>
        <row r="135">
          <cell r="A135">
            <v>2342</v>
          </cell>
          <cell r="B135" t="str">
            <v xml:space="preserve">Wissenschaft &amp; Technologie </v>
          </cell>
        </row>
        <row r="136">
          <cell r="A136">
            <v>2343</v>
          </cell>
          <cell r="B136" t="str">
            <v xml:space="preserve">Klassische Musik </v>
          </cell>
        </row>
        <row r="137">
          <cell r="A137">
            <v>2344</v>
          </cell>
          <cell r="B137" t="str">
            <v>Wissen &amp; Bildung</v>
          </cell>
        </row>
        <row r="138">
          <cell r="A138">
            <v>2345</v>
          </cell>
          <cell r="B138" t="str">
            <v xml:space="preserve">Rezepte &amp; Backen </v>
          </cell>
        </row>
        <row r="139">
          <cell r="A139">
            <v>2346</v>
          </cell>
          <cell r="B139" t="str">
            <v>Sonstige</v>
          </cell>
        </row>
        <row r="140">
          <cell r="A140">
            <v>2380</v>
          </cell>
          <cell r="B140" t="str">
            <v>Madeleine Mode GmbH &amp; Co.KG</v>
          </cell>
        </row>
        <row r="141">
          <cell r="A141">
            <v>2390</v>
          </cell>
          <cell r="B141" t="str">
            <v>St. Josephs Indianer Hilfswerke e.V.</v>
          </cell>
        </row>
        <row r="142">
          <cell r="A142">
            <v>2400</v>
          </cell>
          <cell r="B142" t="str">
            <v>ATRO ProVita GmbH</v>
          </cell>
        </row>
        <row r="143">
          <cell r="A143">
            <v>2421</v>
          </cell>
          <cell r="B143" t="str">
            <v>Eurotops Versand GmbH</v>
          </cell>
        </row>
        <row r="144">
          <cell r="A144">
            <v>2422</v>
          </cell>
          <cell r="B144" t="str">
            <v>Eurotops Versand GmbH - Sanpura</v>
          </cell>
        </row>
        <row r="145">
          <cell r="A145">
            <v>2423</v>
          </cell>
          <cell r="B145" t="str">
            <v>Eurotops Versand GmbH - Inspirationen</v>
          </cell>
        </row>
        <row r="146">
          <cell r="A146">
            <v>2424</v>
          </cell>
          <cell r="B146" t="str">
            <v>Eurotops Versand GmbH - Männersache</v>
          </cell>
        </row>
        <row r="147">
          <cell r="A147">
            <v>2461</v>
          </cell>
          <cell r="B147" t="str">
            <v>3Pagen Versand und Handelsgesellschaft mbH</v>
          </cell>
        </row>
        <row r="148">
          <cell r="A148">
            <v>2471</v>
          </cell>
          <cell r="B148" t="str">
            <v>Alba Moda GmbH</v>
          </cell>
        </row>
        <row r="149">
          <cell r="A149">
            <v>2480</v>
          </cell>
          <cell r="B149" t="str">
            <v>JD Williams &amp; Company LTD</v>
          </cell>
        </row>
        <row r="150">
          <cell r="A150">
            <v>2491</v>
          </cell>
          <cell r="B150" t="str">
            <v>APART International GmbH</v>
          </cell>
        </row>
        <row r="151">
          <cell r="A151">
            <v>2511</v>
          </cell>
          <cell r="B151" t="str">
            <v>Ulla Popken GmbH &amp; Co. KG</v>
          </cell>
        </row>
        <row r="152">
          <cell r="A152">
            <v>2541</v>
          </cell>
          <cell r="B152" t="str">
            <v>Long Tall Sally</v>
          </cell>
        </row>
        <row r="153">
          <cell r="A153">
            <v>2551</v>
          </cell>
          <cell r="B153" t="str">
            <v>Lush GmbH</v>
          </cell>
        </row>
        <row r="154">
          <cell r="A154">
            <v>2571</v>
          </cell>
          <cell r="B154" t="str">
            <v>WVD Gesundheit</v>
          </cell>
        </row>
        <row r="155">
          <cell r="A155">
            <v>2572</v>
          </cell>
          <cell r="B155" t="str">
            <v>WVD Gewinner</v>
          </cell>
        </row>
        <row r="156">
          <cell r="A156">
            <v>2573</v>
          </cell>
          <cell r="B156" t="str">
            <v xml:space="preserve">WVD Call Gewinner </v>
          </cell>
        </row>
        <row r="157">
          <cell r="A157">
            <v>2574</v>
          </cell>
          <cell r="B157" t="str">
            <v>WVD Esotherik</v>
          </cell>
        </row>
        <row r="158">
          <cell r="A158">
            <v>2581</v>
          </cell>
          <cell r="B158" t="str">
            <v>Keimling Naturkost GmbH</v>
          </cell>
        </row>
        <row r="159">
          <cell r="A159">
            <v>2611</v>
          </cell>
          <cell r="B159" t="str">
            <v>Peter Hahn GmbH</v>
          </cell>
        </row>
        <row r="160">
          <cell r="A160">
            <v>2621</v>
          </cell>
          <cell r="B160" t="str">
            <v>Bon A Parte A/S</v>
          </cell>
        </row>
        <row r="161">
          <cell r="A161">
            <v>2641</v>
          </cell>
          <cell r="B161" t="str">
            <v>Weinvorteil W.I.E. GmbH</v>
          </cell>
        </row>
        <row r="162">
          <cell r="A162">
            <v>2642</v>
          </cell>
          <cell r="B162" t="str">
            <v>Weingalerie</v>
          </cell>
        </row>
        <row r="163">
          <cell r="A163">
            <v>2681</v>
          </cell>
          <cell r="B163" t="str">
            <v>VieVital GmbH</v>
          </cell>
        </row>
        <row r="164">
          <cell r="A164">
            <v>2682</v>
          </cell>
          <cell r="B164" t="str">
            <v>Garten Gethsemane Ltd.</v>
          </cell>
        </row>
        <row r="165">
          <cell r="A165">
            <v>2683</v>
          </cell>
          <cell r="B165" t="str">
            <v>Klostergarten Forschung</v>
          </cell>
        </row>
        <row r="166">
          <cell r="A166">
            <v>2691</v>
          </cell>
          <cell r="B166" t="str">
            <v>I.T.P. Handels Ges. mbH</v>
          </cell>
        </row>
        <row r="167">
          <cell r="A167">
            <v>2701</v>
          </cell>
          <cell r="B167" t="str">
            <v>adpublisher AG</v>
          </cell>
        </row>
        <row r="168">
          <cell r="A168">
            <v>2711</v>
          </cell>
          <cell r="B168" t="str">
            <v>Empire Marketing Group</v>
          </cell>
        </row>
        <row r="169">
          <cell r="A169">
            <v>2721</v>
          </cell>
          <cell r="B169" t="str">
            <v>Loberon GmbH</v>
          </cell>
        </row>
        <row r="170">
          <cell r="A170">
            <v>2722</v>
          </cell>
          <cell r="B170" t="str">
            <v>Loberon GmbH - Mirabeau</v>
          </cell>
        </row>
        <row r="171">
          <cell r="A171">
            <v>2723</v>
          </cell>
          <cell r="B171" t="str">
            <v>Loberon GmbH - Sine Tempore</v>
          </cell>
        </row>
        <row r="172">
          <cell r="A172">
            <v>2731</v>
          </cell>
          <cell r="B172" t="str">
            <v>Automaten Hoffmann GmbH</v>
          </cell>
        </row>
        <row r="173">
          <cell r="A173">
            <v>2751</v>
          </cell>
          <cell r="B173" t="str">
            <v>Time Magazines Europe Ltd.</v>
          </cell>
        </row>
        <row r="174">
          <cell r="A174">
            <v>2771</v>
          </cell>
          <cell r="B174" t="str">
            <v>Sun &amp; Wind Power Est.</v>
          </cell>
        </row>
        <row r="175">
          <cell r="A175">
            <v>2791</v>
          </cell>
          <cell r="B175" t="str">
            <v>Lakeland Ltd.</v>
          </cell>
        </row>
        <row r="176">
          <cell r="A176">
            <v>2831</v>
          </cell>
          <cell r="B176" t="str">
            <v>International Childrens Fund GmbH</v>
          </cell>
        </row>
        <row r="177">
          <cell r="A177">
            <v>2871</v>
          </cell>
          <cell r="B177" t="str">
            <v>Francoise Saget</v>
          </cell>
        </row>
        <row r="178">
          <cell r="A178">
            <v>2881</v>
          </cell>
          <cell r="B178" t="str">
            <v>CHF - Hoffnung für Kinder</v>
          </cell>
        </row>
        <row r="179">
          <cell r="A179">
            <v>2891</v>
          </cell>
          <cell r="B179" t="str">
            <v>Edition Strassacker</v>
          </cell>
        </row>
        <row r="180">
          <cell r="A180">
            <v>2921</v>
          </cell>
          <cell r="B180" t="str">
            <v>Selective Marketplace Ltd. - Wrap</v>
          </cell>
        </row>
        <row r="181">
          <cell r="A181">
            <v>2922</v>
          </cell>
          <cell r="B181" t="str">
            <v>Selective Marketplace Ltd. - Poetry</v>
          </cell>
        </row>
        <row r="182">
          <cell r="A182">
            <v>2931</v>
          </cell>
          <cell r="B182" t="str">
            <v>Gudrun Sjöden GmbH</v>
          </cell>
        </row>
        <row r="183">
          <cell r="A183">
            <v>2951</v>
          </cell>
          <cell r="B183" t="str">
            <v>Hotter Beaconsfield Footwear Ltd.</v>
          </cell>
        </row>
        <row r="184">
          <cell r="A184">
            <v>2961</v>
          </cell>
          <cell r="B184" t="str">
            <v>Emporium Hamburg Münzhandelsgesellschaft mbH</v>
          </cell>
        </row>
        <row r="185">
          <cell r="A185">
            <v>2971</v>
          </cell>
          <cell r="B185" t="str">
            <v>Edition Atlas</v>
          </cell>
        </row>
        <row r="186">
          <cell r="A186">
            <v>2991</v>
          </cell>
          <cell r="B186" t="str">
            <v>Atelier Goldner Schnitt GmbH</v>
          </cell>
        </row>
        <row r="187">
          <cell r="A187">
            <v>3011</v>
          </cell>
          <cell r="B187" t="str">
            <v>Fine Filz by F.O.S. Umwelt- und Filtertechnik GmbH</v>
          </cell>
        </row>
        <row r="188">
          <cell r="A188">
            <v>3031</v>
          </cell>
          <cell r="B188" t="str">
            <v>BDK Mailing GmbH</v>
          </cell>
        </row>
        <row r="189">
          <cell r="A189">
            <v>3041</v>
          </cell>
          <cell r="B189" t="str">
            <v>Fiddiam - Nutriform</v>
          </cell>
        </row>
        <row r="190">
          <cell r="A190">
            <v>3042</v>
          </cell>
          <cell r="B190" t="str">
            <v>Fiddiam - Topform</v>
          </cell>
        </row>
        <row r="191">
          <cell r="A191">
            <v>3051</v>
          </cell>
          <cell r="B191" t="str">
            <v>BTN Versandhandel GmbH</v>
          </cell>
        </row>
        <row r="192">
          <cell r="A192">
            <v>3071</v>
          </cell>
          <cell r="B192" t="str">
            <v>Deerberg GmbH</v>
          </cell>
        </row>
        <row r="193">
          <cell r="A193">
            <v>3201</v>
          </cell>
          <cell r="B193" t="str">
            <v>Viabiona Ltd.</v>
          </cell>
        </row>
        <row r="194">
          <cell r="A194">
            <v>3231</v>
          </cell>
          <cell r="B194" t="str">
            <v>Ikarus Design Handel GmbH</v>
          </cell>
        </row>
        <row r="195">
          <cell r="A195">
            <v>3241</v>
          </cell>
          <cell r="B195" t="str">
            <v>ParkinsonFonds gGmbH</v>
          </cell>
        </row>
        <row r="196">
          <cell r="A196">
            <v>3251</v>
          </cell>
          <cell r="B196" t="str">
            <v>Bakdo - Ideas Comfort</v>
          </cell>
        </row>
        <row r="197">
          <cell r="A197">
            <v>3271</v>
          </cell>
          <cell r="B197" t="str">
            <v>Maas-Naturwaren GmbH</v>
          </cell>
        </row>
        <row r="198">
          <cell r="A198">
            <v>3291</v>
          </cell>
          <cell r="B198" t="str">
            <v>Eddie Bauer GmbH</v>
          </cell>
        </row>
        <row r="199">
          <cell r="A199">
            <v>3311</v>
          </cell>
          <cell r="B199" t="str">
            <v>Lands End GmbH - Core</v>
          </cell>
        </row>
        <row r="200">
          <cell r="A200">
            <v>3312</v>
          </cell>
          <cell r="B200" t="str">
            <v>Lands End GmbH - Kids</v>
          </cell>
        </row>
        <row r="201">
          <cell r="A201">
            <v>3321</v>
          </cell>
          <cell r="B201" t="str">
            <v>Linvosges SAS</v>
          </cell>
        </row>
        <row r="202">
          <cell r="A202">
            <v>3351</v>
          </cell>
          <cell r="B202" t="str">
            <v>Lysania</v>
          </cell>
        </row>
        <row r="203">
          <cell r="A203">
            <v>3361</v>
          </cell>
          <cell r="B203" t="str">
            <v>Garpa Garten &amp; Park</v>
          </cell>
        </row>
        <row r="204">
          <cell r="A204">
            <v>3371</v>
          </cell>
          <cell r="B204" t="str">
            <v>Moo</v>
          </cell>
        </row>
        <row r="205">
          <cell r="A205">
            <v>3391</v>
          </cell>
          <cell r="B205" t="str">
            <v>Weltbild GmbH &amp; Co. KG.</v>
          </cell>
        </row>
        <row r="206">
          <cell r="A206">
            <v>3401</v>
          </cell>
          <cell r="B206" t="str">
            <v>Bioline</v>
          </cell>
        </row>
        <row r="207">
          <cell r="A207">
            <v>3402</v>
          </cell>
          <cell r="B207" t="str">
            <v>Vita Sanotec</v>
          </cell>
        </row>
        <row r="208">
          <cell r="A208">
            <v>3403</v>
          </cell>
          <cell r="B208" t="str">
            <v>Best Green</v>
          </cell>
        </row>
        <row r="209">
          <cell r="A209">
            <v>3404</v>
          </cell>
          <cell r="B209" t="str">
            <v>Vital Ultra</v>
          </cell>
        </row>
        <row r="210">
          <cell r="A210">
            <v>3411</v>
          </cell>
          <cell r="B210" t="str">
            <v>Museum Selection Ltd.</v>
          </cell>
        </row>
        <row r="211">
          <cell r="A211">
            <v>3421</v>
          </cell>
          <cell r="B211" t="str">
            <v>Inst. f. Nahrungsergänzung u. Ernährung - Gesund</v>
          </cell>
        </row>
        <row r="212">
          <cell r="A212">
            <v>3422</v>
          </cell>
          <cell r="B212" t="str">
            <v>Inst. f. Nahrungsergänzung u. Ernährung - Schlank</v>
          </cell>
        </row>
        <row r="213">
          <cell r="A213">
            <v>6010</v>
          </cell>
          <cell r="B213" t="str">
            <v>Charles Tyrwhitt LTP</v>
          </cell>
        </row>
        <row r="214">
          <cell r="A214">
            <v>6040</v>
          </cell>
          <cell r="B214" t="str">
            <v>Archiv Verlag</v>
          </cell>
        </row>
        <row r="215">
          <cell r="A215">
            <v>6060</v>
          </cell>
          <cell r="B215" t="str">
            <v>Hagen Grote</v>
          </cell>
        </row>
        <row r="216">
          <cell r="A216">
            <v>6080</v>
          </cell>
          <cell r="B216" t="str">
            <v>BMK</v>
          </cell>
        </row>
        <row r="217">
          <cell r="A217">
            <v>6081</v>
          </cell>
          <cell r="B217" t="str">
            <v>Aura Natura</v>
          </cell>
        </row>
        <row r="218">
          <cell r="A218">
            <v>6180</v>
          </cell>
          <cell r="B218" t="str">
            <v>Schneider Impressionen</v>
          </cell>
        </row>
        <row r="219">
          <cell r="A219">
            <v>6181</v>
          </cell>
          <cell r="B219" t="str">
            <v>Schneider Discovery</v>
          </cell>
        </row>
        <row r="220">
          <cell r="A220">
            <v>6182</v>
          </cell>
          <cell r="B220" t="str">
            <v>Conley's Modekontor GmbH</v>
          </cell>
        </row>
        <row r="221">
          <cell r="A221">
            <v>6241</v>
          </cell>
          <cell r="B221" t="str">
            <v>Shopping Alliance Österreich Edelweiss Versand</v>
          </cell>
        </row>
        <row r="222">
          <cell r="A222">
            <v>6242</v>
          </cell>
          <cell r="B222" t="str">
            <v>Shopping Alliance Österreich Juno Handelskontor</v>
          </cell>
        </row>
        <row r="223">
          <cell r="A223">
            <v>6249</v>
          </cell>
          <cell r="B223" t="str">
            <v>Pantador Österreich Welt d. Verführung</v>
          </cell>
        </row>
        <row r="224">
          <cell r="A224">
            <v>6610</v>
          </cell>
          <cell r="B224" t="str">
            <v>Reppa GmbH</v>
          </cell>
        </row>
        <row r="225">
          <cell r="A225">
            <v>6650</v>
          </cell>
          <cell r="B225" t="str">
            <v>Winter's Wein Direkt</v>
          </cell>
        </row>
        <row r="226">
          <cell r="A226">
            <v>6730</v>
          </cell>
          <cell r="B226" t="str">
            <v>Giordano</v>
          </cell>
        </row>
        <row r="227">
          <cell r="A227">
            <v>7102</v>
          </cell>
          <cell r="B227" t="str">
            <v>Triaz GmbH - Waschbär</v>
          </cell>
        </row>
        <row r="228">
          <cell r="A228">
            <v>7111</v>
          </cell>
          <cell r="B228" t="str">
            <v>FID Verlag - Gesundheit</v>
          </cell>
        </row>
        <row r="229">
          <cell r="A229">
            <v>7112</v>
          </cell>
          <cell r="B229" t="str">
            <v>FID Verlag - Erfolg</v>
          </cell>
        </row>
        <row r="230">
          <cell r="A230">
            <v>7113</v>
          </cell>
          <cell r="B230" t="str">
            <v>FID Verlag - Elternwissen</v>
          </cell>
        </row>
        <row r="231">
          <cell r="A231">
            <v>7114</v>
          </cell>
          <cell r="B231" t="str">
            <v>FID Verlag - Investor</v>
          </cell>
        </row>
        <row r="232">
          <cell r="A232">
            <v>7190</v>
          </cell>
          <cell r="B232" t="str">
            <v>J.P. Boden &amp; Co. Ltd.</v>
          </cell>
        </row>
        <row r="233">
          <cell r="A233">
            <v>7213</v>
          </cell>
          <cell r="B233" t="str">
            <v>Computerwissen Senioren</v>
          </cell>
        </row>
        <row r="234">
          <cell r="A234">
            <v>7270</v>
          </cell>
          <cell r="B234" t="str">
            <v>bild der wissenschaft shop</v>
          </cell>
        </row>
        <row r="235">
          <cell r="A235">
            <v>7400</v>
          </cell>
          <cell r="B235" t="str">
            <v>ATRO ProVita GmbH</v>
          </cell>
        </row>
        <row r="236">
          <cell r="A236">
            <v>7421</v>
          </cell>
          <cell r="B236" t="str">
            <v>Eurotops Versand GmbH</v>
          </cell>
        </row>
        <row r="237">
          <cell r="A237">
            <v>7471</v>
          </cell>
          <cell r="B237" t="str">
            <v>Alba Moda GmbH</v>
          </cell>
        </row>
        <row r="238">
          <cell r="A238">
            <v>7611</v>
          </cell>
          <cell r="B238" t="str">
            <v>Peter Hahn GmbH</v>
          </cell>
        </row>
        <row r="239">
          <cell r="A239">
            <v>7682</v>
          </cell>
          <cell r="B239" t="str">
            <v>Garten Gethsemane Ltd.</v>
          </cell>
        </row>
        <row r="240">
          <cell r="A240">
            <v>7683</v>
          </cell>
          <cell r="B240" t="str">
            <v>Klostergarten Forschung</v>
          </cell>
        </row>
        <row r="241">
          <cell r="A241">
            <v>7691</v>
          </cell>
          <cell r="B241" t="str">
            <v>I.T.P. Handels Ges. mbH</v>
          </cell>
        </row>
        <row r="242">
          <cell r="A242">
            <v>7721</v>
          </cell>
          <cell r="B242" t="str">
            <v>Loberon GmbH</v>
          </cell>
        </row>
        <row r="243">
          <cell r="A243">
            <v>7722</v>
          </cell>
          <cell r="B243" t="str">
            <v>Loberon GmbH - Mirabeau</v>
          </cell>
        </row>
        <row r="244">
          <cell r="A244">
            <v>7751</v>
          </cell>
          <cell r="B244" t="str">
            <v>Time Magazines Europe Ltd.</v>
          </cell>
        </row>
        <row r="245">
          <cell r="A245">
            <v>7871</v>
          </cell>
          <cell r="B245" t="str">
            <v>Francoise Sagnet</v>
          </cell>
        </row>
        <row r="246">
          <cell r="A246">
            <v>7891</v>
          </cell>
          <cell r="B246" t="str">
            <v>Edition Strassacker</v>
          </cell>
        </row>
        <row r="247">
          <cell r="A247">
            <v>7901</v>
          </cell>
          <cell r="B247" t="str">
            <v>Wan Chai Direct Mail Corporation Ltd.</v>
          </cell>
        </row>
        <row r="248">
          <cell r="A248">
            <v>7911</v>
          </cell>
          <cell r="B248" t="str">
            <v>Taurus International Services Inc. New York</v>
          </cell>
        </row>
        <row r="249">
          <cell r="A249">
            <v>8041</v>
          </cell>
          <cell r="B249" t="str">
            <v>Fiddiam - Nutriform</v>
          </cell>
        </row>
        <row r="250">
          <cell r="A250">
            <v>8042</v>
          </cell>
          <cell r="B250" t="str">
            <v>Fiddiam - Topform</v>
          </cell>
        </row>
        <row r="251">
          <cell r="A251">
            <v>8051</v>
          </cell>
          <cell r="B251" t="str">
            <v>BTN Versandhandel GmbH</v>
          </cell>
        </row>
        <row r="252">
          <cell r="A252">
            <v>8071</v>
          </cell>
          <cell r="B252" t="str">
            <v>Deerberg GmbH</v>
          </cell>
        </row>
        <row r="253">
          <cell r="A253">
            <v>8271</v>
          </cell>
          <cell r="B253" t="str">
            <v>Maas-Naturwaren GmbH</v>
          </cell>
        </row>
        <row r="254">
          <cell r="A254">
            <v>8281</v>
          </cell>
          <cell r="B254" t="str">
            <v>Madeleine Mode GmbH</v>
          </cell>
        </row>
        <row r="255">
          <cell r="A255">
            <v>8361</v>
          </cell>
          <cell r="B255" t="str">
            <v>Garpa Garten &amp; Park</v>
          </cell>
        </row>
        <row r="256">
          <cell r="A256">
            <v>8361</v>
          </cell>
          <cell r="B256" t="str">
            <v>Garpa Garten &amp; Park</v>
          </cell>
        </row>
        <row r="257">
          <cell r="A257">
            <v>8451</v>
          </cell>
          <cell r="B257" t="str">
            <v>Aura Natura</v>
          </cell>
        </row>
        <row r="258">
          <cell r="A258">
            <v>8231</v>
          </cell>
          <cell r="B258" t="str">
            <v>Ikarus Design Handel GmbH</v>
          </cell>
        </row>
        <row r="259">
          <cell r="A259">
            <v>3471</v>
          </cell>
          <cell r="B259" t="str">
            <v>Qiéro!</v>
          </cell>
        </row>
        <row r="260">
          <cell r="A260">
            <v>3461</v>
          </cell>
          <cell r="B260" t="str">
            <v>Wayfair GmbH</v>
          </cell>
        </row>
        <row r="261">
          <cell r="A261">
            <v>3481</v>
          </cell>
          <cell r="B261" t="str">
            <v>Whitestone - Prostaman</v>
          </cell>
        </row>
        <row r="262">
          <cell r="A262">
            <v>8201</v>
          </cell>
          <cell r="B262" t="str">
            <v>Viabiona Ltd.</v>
          </cell>
        </row>
        <row r="263">
          <cell r="A263">
            <v>3441</v>
          </cell>
          <cell r="B263" t="str">
            <v>REVITIVE ACTEGY</v>
          </cell>
        </row>
        <row r="264">
          <cell r="A264">
            <v>3484</v>
          </cell>
          <cell r="B264" t="str">
            <v>Whitestone - Astrologie</v>
          </cell>
        </row>
        <row r="265">
          <cell r="A265">
            <v>3431</v>
          </cell>
          <cell r="B265" t="str">
            <v>New Science</v>
          </cell>
        </row>
        <row r="266">
          <cell r="A266">
            <v>3412</v>
          </cell>
          <cell r="B266" t="str">
            <v>Culture Vulture</v>
          </cell>
        </row>
        <row r="267">
          <cell r="A267">
            <v>8471</v>
          </cell>
          <cell r="B267" t="str">
            <v>Jako-o - Qiero!</v>
          </cell>
        </row>
        <row r="268">
          <cell r="A268">
            <v>3482</v>
          </cell>
          <cell r="B268" t="str">
            <v>Whitestone - Vitalen Riflex</v>
          </cell>
        </row>
        <row r="269">
          <cell r="A269">
            <v>1291</v>
          </cell>
          <cell r="B269" t="str">
            <v>Rhenania Buch - Buch</v>
          </cell>
        </row>
        <row r="270">
          <cell r="A270">
            <v>1292</v>
          </cell>
          <cell r="B270" t="str">
            <v>Rhenania Buch - Akzente</v>
          </cell>
        </row>
        <row r="271">
          <cell r="A271">
            <v>1293</v>
          </cell>
          <cell r="B271" t="str">
            <v>Rhenania Buch - Mail Order Kaiser</v>
          </cell>
        </row>
        <row r="272">
          <cell r="A272">
            <v>1294</v>
          </cell>
          <cell r="B272" t="str">
            <v>Rhenania Buch - Franz A. Taubert</v>
          </cell>
        </row>
        <row r="273">
          <cell r="A273">
            <v>3491</v>
          </cell>
          <cell r="B273" t="str">
            <v>Vicampo.de GmbH</v>
          </cell>
        </row>
        <row r="274">
          <cell r="A274">
            <v>3411</v>
          </cell>
          <cell r="B274" t="str">
            <v>Museum Selection</v>
          </cell>
        </row>
        <row r="275">
          <cell r="A275">
            <v>7113</v>
          </cell>
          <cell r="B275" t="str">
            <v>FID Verlag - Erfolg &amp; Glück</v>
          </cell>
        </row>
        <row r="276">
          <cell r="A276">
            <v>7114</v>
          </cell>
          <cell r="B276" t="str">
            <v>FID Verlag - Gesundheit ALT</v>
          </cell>
        </row>
        <row r="277">
          <cell r="A277">
            <v>7115</v>
          </cell>
          <cell r="B277" t="str">
            <v>FID Verlag - Erfolg ALT</v>
          </cell>
        </row>
        <row r="278">
          <cell r="A278">
            <v>7116</v>
          </cell>
          <cell r="B278" t="str">
            <v>FID Verlag - Elternwissen ALT</v>
          </cell>
        </row>
        <row r="279">
          <cell r="A279">
            <v>7117</v>
          </cell>
          <cell r="B279" t="str">
            <v>FID Verlag - Investor ALT</v>
          </cell>
        </row>
        <row r="280">
          <cell r="A280">
            <v>7190</v>
          </cell>
          <cell r="B280" t="str">
            <v>J.P. Boden &amp; Co. Ltd.</v>
          </cell>
        </row>
        <row r="281">
          <cell r="A281">
            <v>7211</v>
          </cell>
          <cell r="B281" t="str">
            <v>VNR Verlag - Vermögen/Invest</v>
          </cell>
        </row>
        <row r="282">
          <cell r="A282">
            <v>7212</v>
          </cell>
          <cell r="B282" t="str">
            <v>VNR Verlag - Simplify</v>
          </cell>
        </row>
        <row r="283">
          <cell r="A283">
            <v>7213</v>
          </cell>
          <cell r="B283" t="str">
            <v>VNR Verlag - Computer/Anwendungen</v>
          </cell>
        </row>
        <row r="284">
          <cell r="A284">
            <v>7214</v>
          </cell>
          <cell r="B284" t="str">
            <v>Computerwissen Senioren ALT</v>
          </cell>
        </row>
        <row r="285">
          <cell r="A285">
            <v>7270</v>
          </cell>
          <cell r="B285" t="str">
            <v>bild der wissenschaft shop</v>
          </cell>
        </row>
        <row r="286">
          <cell r="A286">
            <v>7400</v>
          </cell>
          <cell r="B286" t="str">
            <v>ATRO ProVita GmbH</v>
          </cell>
        </row>
        <row r="287">
          <cell r="A287">
            <v>7421</v>
          </cell>
          <cell r="B287" t="str">
            <v>Eurotops Versand GmbH</v>
          </cell>
        </row>
        <row r="288">
          <cell r="A288">
            <v>7422</v>
          </cell>
          <cell r="B288" t="str">
            <v>Eurotops Versand GmbH - Sanpura</v>
          </cell>
        </row>
        <row r="289">
          <cell r="A289">
            <v>7423</v>
          </cell>
          <cell r="B289" t="str">
            <v>Eurotops Versand GmbH - Inspirationen</v>
          </cell>
        </row>
        <row r="290">
          <cell r="A290">
            <v>7424</v>
          </cell>
          <cell r="B290" t="str">
            <v>Eurotops Versand GmbH - Männersache</v>
          </cell>
        </row>
        <row r="291">
          <cell r="A291">
            <v>7471</v>
          </cell>
          <cell r="B291" t="str">
            <v>Alba Moda GmbH</v>
          </cell>
        </row>
        <row r="292">
          <cell r="A292">
            <v>7682</v>
          </cell>
          <cell r="B292" t="str">
            <v>Garten Gethsemane Ltd.</v>
          </cell>
        </row>
        <row r="293">
          <cell r="A293">
            <v>7683</v>
          </cell>
          <cell r="B293" t="str">
            <v>Klostergarten Forschung</v>
          </cell>
        </row>
        <row r="294">
          <cell r="A294">
            <v>7691</v>
          </cell>
          <cell r="B294" t="str">
            <v>I.T.P. Handels Ges. mbH</v>
          </cell>
        </row>
        <row r="295">
          <cell r="A295">
            <v>7721</v>
          </cell>
          <cell r="B295" t="str">
            <v>Loberon GmbH</v>
          </cell>
        </row>
        <row r="296">
          <cell r="A296">
            <v>7722</v>
          </cell>
          <cell r="B296" t="str">
            <v>Loberon GmbH - Mirabeau</v>
          </cell>
        </row>
        <row r="297">
          <cell r="A297">
            <v>7751</v>
          </cell>
          <cell r="B297" t="str">
            <v>Time Magazines Europe Ltd.</v>
          </cell>
        </row>
        <row r="298">
          <cell r="A298">
            <v>7871</v>
          </cell>
          <cell r="B298" t="str">
            <v>Francoise Sagnet</v>
          </cell>
        </row>
        <row r="299">
          <cell r="A299">
            <v>7891</v>
          </cell>
          <cell r="B299" t="str">
            <v>Edition Strassacker</v>
          </cell>
        </row>
        <row r="300">
          <cell r="A300">
            <v>7911</v>
          </cell>
          <cell r="B300" t="str">
            <v>Taurus International Services Inc. New York</v>
          </cell>
        </row>
        <row r="301">
          <cell r="A301">
            <v>7991</v>
          </cell>
          <cell r="B301" t="str">
            <v>Atelier Goldner Schnitt GmbH</v>
          </cell>
        </row>
        <row r="302">
          <cell r="A302">
            <v>8041</v>
          </cell>
          <cell r="B302" t="str">
            <v>Fiddiam - Nutriform</v>
          </cell>
        </row>
        <row r="303">
          <cell r="A303">
            <v>8042</v>
          </cell>
          <cell r="B303" t="str">
            <v>Fiddiam - Topform</v>
          </cell>
        </row>
        <row r="304">
          <cell r="A304">
            <v>8051</v>
          </cell>
          <cell r="B304" t="str">
            <v>BTN Versandhandel GmbH</v>
          </cell>
        </row>
        <row r="305">
          <cell r="A305">
            <v>8071</v>
          </cell>
          <cell r="B305" t="str">
            <v>Deerberg GmbH</v>
          </cell>
        </row>
        <row r="306">
          <cell r="A306">
            <v>8201</v>
          </cell>
          <cell r="B306" t="str">
            <v>Viabiona Ltd.</v>
          </cell>
        </row>
        <row r="307">
          <cell r="A307">
            <v>8202</v>
          </cell>
          <cell r="B307" t="str">
            <v>Viabiona Ltd. - Nutribiona</v>
          </cell>
        </row>
        <row r="308">
          <cell r="A308">
            <v>8231</v>
          </cell>
          <cell r="B308" t="str">
            <v>Ikarus Design Handel GmbH</v>
          </cell>
        </row>
        <row r="309">
          <cell r="A309">
            <v>8271</v>
          </cell>
          <cell r="B309" t="str">
            <v>Maas-Naturwaren GmbH</v>
          </cell>
        </row>
        <row r="310">
          <cell r="A310">
            <v>8281</v>
          </cell>
          <cell r="B310" t="str">
            <v>Madeleine Mode GmbH</v>
          </cell>
        </row>
        <row r="311">
          <cell r="A311">
            <v>8351</v>
          </cell>
          <cell r="B311" t="str">
            <v>Lysania</v>
          </cell>
        </row>
        <row r="312">
          <cell r="A312">
            <v>8352</v>
          </cell>
          <cell r="B312" t="str">
            <v>Lysania - Eso &amp; Astro</v>
          </cell>
        </row>
        <row r="313">
          <cell r="A313">
            <v>8361</v>
          </cell>
          <cell r="B313" t="str">
            <v>Garpa Garten &amp; Park</v>
          </cell>
        </row>
        <row r="314">
          <cell r="A314">
            <v>8451</v>
          </cell>
          <cell r="B314" t="str">
            <v>Aura Natura Schweiz AG</v>
          </cell>
        </row>
        <row r="315">
          <cell r="A315">
            <v>8471</v>
          </cell>
          <cell r="B315" t="str">
            <v>Jako-o - Qiero!</v>
          </cell>
        </row>
        <row r="316">
          <cell r="A316">
            <v>8501</v>
          </cell>
          <cell r="B316" t="str">
            <v>MetaCrew - Pink Box</v>
          </cell>
        </row>
        <row r="317">
          <cell r="A317">
            <v>8531</v>
          </cell>
          <cell r="B317" t="str">
            <v>Galerista - Münze</v>
          </cell>
        </row>
        <row r="318">
          <cell r="A318">
            <v>8532</v>
          </cell>
          <cell r="B318" t="str">
            <v>Galerista - Schmuck</v>
          </cell>
        </row>
        <row r="319">
          <cell r="A319">
            <v>8533</v>
          </cell>
          <cell r="B319" t="str">
            <v>Galerista - Collectables</v>
          </cell>
        </row>
        <row r="320">
          <cell r="A320">
            <v>8534</v>
          </cell>
          <cell r="B320" t="str">
            <v>Galerista - Fashion</v>
          </cell>
        </row>
        <row r="321">
          <cell r="A321">
            <v>6391</v>
          </cell>
          <cell r="B321" t="str">
            <v>Aslan - Gesundheit</v>
          </cell>
        </row>
        <row r="322">
          <cell r="A322">
            <v>3621</v>
          </cell>
          <cell r="B322" t="str">
            <v>Gavia GmbH</v>
          </cell>
        </row>
        <row r="323">
          <cell r="A323">
            <v>3631</v>
          </cell>
          <cell r="B323" t="str">
            <v>Primus GmbH</v>
          </cell>
        </row>
        <row r="324">
          <cell r="A324">
            <v>3641</v>
          </cell>
          <cell r="B324" t="str">
            <v>Pranahaus GmbH</v>
          </cell>
        </row>
        <row r="325">
          <cell r="A325">
            <v>8111</v>
          </cell>
          <cell r="B325" t="str">
            <v>Versandhaus Jungborn GmbH</v>
          </cell>
        </row>
        <row r="326">
          <cell r="A326">
            <v>3651</v>
          </cell>
          <cell r="B326" t="str">
            <v>Pure Collection Cashmere</v>
          </cell>
        </row>
        <row r="327">
          <cell r="A327">
            <v>3661</v>
          </cell>
          <cell r="B327" t="str">
            <v>Spoke London</v>
          </cell>
        </row>
        <row r="328">
          <cell r="A328">
            <v>3671</v>
          </cell>
          <cell r="B328" t="str">
            <v>Gina Laura GmbH &amp; Co. KG</v>
          </cell>
        </row>
        <row r="329">
          <cell r="A329">
            <v>6246</v>
          </cell>
          <cell r="B329" t="str">
            <v>Pantador</v>
          </cell>
        </row>
        <row r="330">
          <cell r="A330">
            <v>3681</v>
          </cell>
          <cell r="B330" t="str">
            <v>Kettlewell Colours Ltd.</v>
          </cell>
        </row>
        <row r="331">
          <cell r="A331">
            <v>3691</v>
          </cell>
          <cell r="B331" t="str">
            <v>eb Fusselastic GmbH</v>
          </cell>
        </row>
        <row r="332">
          <cell r="A332">
            <v>7120</v>
          </cell>
          <cell r="B332" t="str">
            <v>Bradford Exchange</v>
          </cell>
        </row>
        <row r="333">
          <cell r="A333">
            <v>1120</v>
          </cell>
          <cell r="B333" t="str">
            <v>Green Power</v>
          </cell>
        </row>
        <row r="334">
          <cell r="A334">
            <v>8321</v>
          </cell>
          <cell r="B334" t="str">
            <v>Linvosges SAS</v>
          </cell>
        </row>
        <row r="335">
          <cell r="A335">
            <v>3701</v>
          </cell>
          <cell r="B335" t="str">
            <v>One World Communication Pte Ltd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ergie"/>
      <sheetName val="REF"/>
      <sheetName val="alt"/>
    </sheetNames>
    <sheetDataSet>
      <sheetData sheetId="0"/>
      <sheetData sheetId="1">
        <row r="1">
          <cell r="A1" t="str">
            <v>AFFILIATEID</v>
          </cell>
          <cell r="B1" t="str">
            <v>NAME</v>
          </cell>
        </row>
        <row r="2">
          <cell r="A2">
            <v>1010</v>
          </cell>
          <cell r="B2" t="str">
            <v>Charles Tyrwhitt</v>
          </cell>
        </row>
        <row r="3">
          <cell r="A3">
            <v>1040</v>
          </cell>
          <cell r="B3" t="str">
            <v>Archiv Verlag</v>
          </cell>
        </row>
        <row r="4">
          <cell r="A4">
            <v>1080</v>
          </cell>
          <cell r="B4" t="str">
            <v>HMK - Münzkontor</v>
          </cell>
        </row>
        <row r="5">
          <cell r="A5">
            <v>1081</v>
          </cell>
          <cell r="B5" t="str">
            <v>HMK - Aura Natura</v>
          </cell>
        </row>
        <row r="6">
          <cell r="A6">
            <v>1082</v>
          </cell>
          <cell r="B6" t="str">
            <v>HMK - Goldkontor</v>
          </cell>
        </row>
        <row r="7">
          <cell r="A7">
            <v>1083</v>
          </cell>
          <cell r="B7" t="str">
            <v>HMK - Eldora</v>
          </cell>
        </row>
        <row r="8">
          <cell r="A8">
            <v>1100</v>
          </cell>
          <cell r="B8" t="str">
            <v>Promondo</v>
          </cell>
        </row>
        <row r="9">
          <cell r="A9">
            <v>1120</v>
          </cell>
          <cell r="B9" t="str">
            <v>Dr Hittich</v>
          </cell>
        </row>
        <row r="10">
          <cell r="A10">
            <v>1241</v>
          </cell>
          <cell r="B10" t="str">
            <v>IM Euroshopping Schöner Leben</v>
          </cell>
        </row>
        <row r="11">
          <cell r="A11">
            <v>1242</v>
          </cell>
          <cell r="B11" t="str">
            <v>IM Janus</v>
          </cell>
        </row>
        <row r="12">
          <cell r="A12">
            <v>1243</v>
          </cell>
          <cell r="B12" t="str">
            <v>IM Salvebis Bela Vita</v>
          </cell>
        </row>
        <row r="13">
          <cell r="A13">
            <v>1244</v>
          </cell>
          <cell r="B13" t="str">
            <v>IM Salvebis KlosterMarienquell</v>
          </cell>
        </row>
        <row r="14">
          <cell r="A14">
            <v>1245</v>
          </cell>
          <cell r="B14" t="str">
            <v>IM 1a Versand</v>
          </cell>
        </row>
        <row r="15">
          <cell r="A15">
            <v>1246</v>
          </cell>
          <cell r="B15" t="str">
            <v>IM Pantador USBoston</v>
          </cell>
        </row>
        <row r="16">
          <cell r="A16">
            <v>1247</v>
          </cell>
          <cell r="B16" t="str">
            <v>IM Fit und Vital</v>
          </cell>
        </row>
        <row r="17">
          <cell r="A17">
            <v>1248</v>
          </cell>
          <cell r="B17" t="str">
            <v>IM 5th Avenue</v>
          </cell>
        </row>
        <row r="18">
          <cell r="A18">
            <v>1249</v>
          </cell>
          <cell r="B18" t="str">
            <v>IM Pantador Welt der Verführung</v>
          </cell>
        </row>
        <row r="19">
          <cell r="A19">
            <v>1250</v>
          </cell>
          <cell r="B19" t="str">
            <v>IM  Aqua Vitalis</v>
          </cell>
        </row>
        <row r="20">
          <cell r="A20">
            <v>1251</v>
          </cell>
          <cell r="B20" t="str">
            <v>IM Ern International bvba Buy-ern</v>
          </cell>
        </row>
        <row r="21">
          <cell r="A21">
            <v>1262</v>
          </cell>
          <cell r="B21" t="str">
            <v>Pieroth - Graf von Zedlitz</v>
          </cell>
        </row>
        <row r="22">
          <cell r="A22">
            <v>1264</v>
          </cell>
          <cell r="B22" t="str">
            <v>Pieroth - Weingalerie Weikersheim</v>
          </cell>
        </row>
        <row r="23">
          <cell r="A23">
            <v>1265</v>
          </cell>
          <cell r="B23" t="str">
            <v>Pieroth - Plettenberg</v>
          </cell>
        </row>
        <row r="24">
          <cell r="A24">
            <v>1266</v>
          </cell>
          <cell r="B24" t="str">
            <v>Pieroth - Pieroth</v>
          </cell>
        </row>
        <row r="25">
          <cell r="A25">
            <v>1267</v>
          </cell>
          <cell r="B25" t="str">
            <v>Pieroth - Weingraf</v>
          </cell>
        </row>
        <row r="26">
          <cell r="A26">
            <v>1390</v>
          </cell>
          <cell r="B26" t="str">
            <v>Aslan - Herrenkapsel Potenz</v>
          </cell>
        </row>
        <row r="27">
          <cell r="A27">
            <v>1391</v>
          </cell>
          <cell r="B27" t="str">
            <v>Aslan - Gesundheit allgemein</v>
          </cell>
        </row>
        <row r="28">
          <cell r="A28">
            <v>1530</v>
          </cell>
          <cell r="B28" t="str">
            <v>Braun Lotto</v>
          </cell>
        </row>
        <row r="29">
          <cell r="A29">
            <v>1610</v>
          </cell>
          <cell r="B29" t="str">
            <v>Reppa</v>
          </cell>
        </row>
        <row r="30">
          <cell r="A30">
            <v>1650</v>
          </cell>
          <cell r="B30" t="str">
            <v>Winters Wein</v>
          </cell>
        </row>
        <row r="31">
          <cell r="A31">
            <v>1651</v>
          </cell>
          <cell r="B31" t="str">
            <v>Son Cavaller</v>
          </cell>
        </row>
        <row r="32">
          <cell r="A32">
            <v>1720</v>
          </cell>
          <cell r="B32" t="str">
            <v>David Nieper</v>
          </cell>
        </row>
        <row r="33">
          <cell r="A33">
            <v>1730</v>
          </cell>
          <cell r="B33" t="str">
            <v xml:space="preserve">Giordano </v>
          </cell>
        </row>
        <row r="34">
          <cell r="A34">
            <v>1820</v>
          </cell>
          <cell r="B34" t="str">
            <v>Spezialitaetenhaus</v>
          </cell>
        </row>
        <row r="35">
          <cell r="A35">
            <v>1960</v>
          </cell>
          <cell r="B35" t="str">
            <v>Wilhelm Egle</v>
          </cell>
        </row>
        <row r="36">
          <cell r="A36">
            <v>2000</v>
          </cell>
          <cell r="B36" t="str">
            <v>Dr Hall</v>
          </cell>
        </row>
        <row r="37">
          <cell r="A37">
            <v>2030</v>
          </cell>
          <cell r="B37" t="str">
            <v>Woodsteel</v>
          </cell>
        </row>
        <row r="38">
          <cell r="A38">
            <v>2080</v>
          </cell>
          <cell r="B38" t="str">
            <v>Richard Borek</v>
          </cell>
        </row>
        <row r="39">
          <cell r="A39">
            <v>2081</v>
          </cell>
          <cell r="B39" t="str">
            <v>Lebegut</v>
          </cell>
        </row>
        <row r="40">
          <cell r="A40">
            <v>2111</v>
          </cell>
          <cell r="B40" t="str">
            <v>FID Verlag - Vermögen-Invest</v>
          </cell>
        </row>
        <row r="41">
          <cell r="A41">
            <v>2112</v>
          </cell>
          <cell r="B41" t="str">
            <v>FID Verlag - Gesundheit-Erfolg-Glück</v>
          </cell>
        </row>
        <row r="42">
          <cell r="A42">
            <v>2120</v>
          </cell>
          <cell r="B42" t="str">
            <v>The Bradford Exchange</v>
          </cell>
        </row>
        <row r="43">
          <cell r="A43">
            <v>2190</v>
          </cell>
          <cell r="B43" t="str">
            <v>JP Boden</v>
          </cell>
        </row>
        <row r="44">
          <cell r="A44">
            <v>2211</v>
          </cell>
          <cell r="B44" t="str">
            <v>VNR Verlag - Vermögen-Invest</v>
          </cell>
        </row>
        <row r="45">
          <cell r="A45">
            <v>2212</v>
          </cell>
          <cell r="B45" t="str">
            <v>VNR Verlag - Simplify</v>
          </cell>
        </row>
        <row r="46">
          <cell r="A46">
            <v>2213</v>
          </cell>
          <cell r="B46" t="str">
            <v>VNR Verlag - Computer</v>
          </cell>
        </row>
        <row r="47">
          <cell r="A47">
            <v>2214</v>
          </cell>
          <cell r="B47" t="str">
            <v>VNR Verlag - Senioren Abo</v>
          </cell>
        </row>
        <row r="48">
          <cell r="A48">
            <v>2270</v>
          </cell>
          <cell r="B48" t="str">
            <v>bild der wissenschaft shop</v>
          </cell>
        </row>
        <row r="49">
          <cell r="A49">
            <v>2320</v>
          </cell>
          <cell r="B49" t="str">
            <v>MDM Münzhandelsgesellschaft</v>
          </cell>
        </row>
        <row r="50">
          <cell r="A50">
            <v>2380</v>
          </cell>
          <cell r="B50" t="str">
            <v>Madeleine Mode</v>
          </cell>
        </row>
        <row r="51">
          <cell r="A51">
            <v>2390</v>
          </cell>
          <cell r="B51" t="str">
            <v>St Josefs Indianer Hilfswerk</v>
          </cell>
        </row>
        <row r="52">
          <cell r="A52">
            <v>2421</v>
          </cell>
          <cell r="B52" t="str">
            <v>Eurotops Versand</v>
          </cell>
        </row>
        <row r="53">
          <cell r="A53">
            <v>2422</v>
          </cell>
          <cell r="B53" t="str">
            <v>Eurotops Versand - Sanpura</v>
          </cell>
        </row>
        <row r="54">
          <cell r="A54">
            <v>2423</v>
          </cell>
          <cell r="B54" t="str">
            <v>Eurotops Versand - Inspirationen</v>
          </cell>
        </row>
        <row r="55">
          <cell r="A55">
            <v>2424</v>
          </cell>
          <cell r="B55" t="str">
            <v>Eurotops Versand - Männersache</v>
          </cell>
        </row>
        <row r="56">
          <cell r="A56">
            <v>2511</v>
          </cell>
          <cell r="B56" t="str">
            <v>Ulla Popken</v>
          </cell>
        </row>
        <row r="57">
          <cell r="A57">
            <v>2681</v>
          </cell>
          <cell r="B57" t="str">
            <v>VieVital</v>
          </cell>
        </row>
        <row r="58">
          <cell r="A58">
            <v>2682</v>
          </cell>
          <cell r="B58" t="str">
            <v>Garten Gethsemane</v>
          </cell>
        </row>
        <row r="59">
          <cell r="A59">
            <v>2683</v>
          </cell>
          <cell r="B59" t="str">
            <v>Klostergarten Forschung</v>
          </cell>
        </row>
        <row r="60">
          <cell r="A60">
            <v>2684</v>
          </cell>
          <cell r="B60" t="str">
            <v>Produktkontor</v>
          </cell>
        </row>
        <row r="61">
          <cell r="A61">
            <v>2685</v>
          </cell>
          <cell r="B61" t="str">
            <v>Garten Gethsemane -Detox</v>
          </cell>
        </row>
        <row r="62">
          <cell r="A62">
            <v>2721</v>
          </cell>
          <cell r="B62" t="str">
            <v>LOBERON</v>
          </cell>
        </row>
        <row r="63">
          <cell r="A63">
            <v>2722</v>
          </cell>
          <cell r="B63" t="str">
            <v>Loberon - Mirabeau</v>
          </cell>
        </row>
        <row r="64">
          <cell r="A64">
            <v>2723</v>
          </cell>
          <cell r="B64" t="str">
            <v>Loberon - sine tempore</v>
          </cell>
        </row>
        <row r="65">
          <cell r="A65">
            <v>2724</v>
          </cell>
          <cell r="B65" t="str">
            <v>Loberon - Museum Selection</v>
          </cell>
        </row>
        <row r="66">
          <cell r="A66">
            <v>2881</v>
          </cell>
          <cell r="B66" t="str">
            <v>CHF - Hoffnung für Kinder</v>
          </cell>
        </row>
        <row r="67">
          <cell r="A67">
            <v>2921</v>
          </cell>
          <cell r="B67" t="str">
            <v>Selective Marketplace - Wrap</v>
          </cell>
        </row>
        <row r="68">
          <cell r="A68">
            <v>2922</v>
          </cell>
          <cell r="B68" t="str">
            <v>Selective Marketplace - Poetry</v>
          </cell>
        </row>
        <row r="69">
          <cell r="A69">
            <v>2961</v>
          </cell>
          <cell r="B69" t="str">
            <v>Emporium</v>
          </cell>
        </row>
        <row r="70">
          <cell r="A70">
            <v>2991</v>
          </cell>
          <cell r="B70" t="str">
            <v>Goldner</v>
          </cell>
        </row>
        <row r="71">
          <cell r="A71">
            <v>3041</v>
          </cell>
          <cell r="B71" t="str">
            <v>Fiddiam - Nutriform</v>
          </cell>
        </row>
        <row r="72">
          <cell r="A72">
            <v>3042</v>
          </cell>
          <cell r="B72" t="str">
            <v>Fiddiam - Topform</v>
          </cell>
        </row>
        <row r="73">
          <cell r="A73">
            <v>3043</v>
          </cell>
          <cell r="B73" t="str">
            <v>Fiddiam - Biform</v>
          </cell>
        </row>
        <row r="74">
          <cell r="A74">
            <v>3051</v>
          </cell>
          <cell r="B74" t="str">
            <v>BTN Versandhandel</v>
          </cell>
        </row>
        <row r="75">
          <cell r="A75">
            <v>3071</v>
          </cell>
          <cell r="B75" t="str">
            <v>Deerberg</v>
          </cell>
        </row>
        <row r="76">
          <cell r="A76">
            <v>3111</v>
          </cell>
          <cell r="B76" t="str">
            <v>Jungborn</v>
          </cell>
        </row>
        <row r="77">
          <cell r="A77">
            <v>3201</v>
          </cell>
          <cell r="B77" t="str">
            <v>Viabiona</v>
          </cell>
        </row>
        <row r="78">
          <cell r="A78">
            <v>3202</v>
          </cell>
          <cell r="B78" t="str">
            <v>Nutribiona</v>
          </cell>
        </row>
        <row r="79">
          <cell r="A79">
            <v>3231</v>
          </cell>
          <cell r="B79" t="str">
            <v>IKARUS DESIGN HANDEL</v>
          </cell>
        </row>
        <row r="80">
          <cell r="A80">
            <v>3241</v>
          </cell>
          <cell r="B80" t="str">
            <v>ParkinsonFonds</v>
          </cell>
        </row>
        <row r="81">
          <cell r="A81">
            <v>3271</v>
          </cell>
          <cell r="B81" t="str">
            <v>Maas Natur</v>
          </cell>
        </row>
        <row r="82">
          <cell r="A82">
            <v>3321</v>
          </cell>
          <cell r="B82" t="str">
            <v>Linvosges</v>
          </cell>
        </row>
        <row r="83">
          <cell r="A83">
            <v>3361</v>
          </cell>
          <cell r="B83" t="str">
            <v>GARPA</v>
          </cell>
        </row>
        <row r="84">
          <cell r="A84">
            <v>3421</v>
          </cell>
          <cell r="B84" t="str">
            <v>Institut für Nahrungsergänzung - Gesund</v>
          </cell>
        </row>
        <row r="85">
          <cell r="A85">
            <v>3422</v>
          </cell>
          <cell r="B85" t="str">
            <v>Institut für Nahrungsergänzung - Schlank</v>
          </cell>
        </row>
        <row r="86">
          <cell r="A86">
            <v>3423</v>
          </cell>
          <cell r="B86" t="str">
            <v>Institut für Nahrungsergänzung - Potenz</v>
          </cell>
        </row>
        <row r="87">
          <cell r="A87">
            <v>3441</v>
          </cell>
          <cell r="B87" t="str">
            <v>Actegy - Revitive</v>
          </cell>
        </row>
        <row r="88">
          <cell r="A88">
            <v>3451</v>
          </cell>
          <cell r="B88" t="str">
            <v>AN Schweiz - Aura Natura</v>
          </cell>
        </row>
        <row r="89">
          <cell r="A89">
            <v>3521</v>
          </cell>
          <cell r="B89" t="str">
            <v>Nutrisana Care</v>
          </cell>
        </row>
        <row r="90">
          <cell r="A90">
            <v>3531</v>
          </cell>
          <cell r="B90" t="str">
            <v>Sammlergalerie - Münze</v>
          </cell>
        </row>
        <row r="91">
          <cell r="A91">
            <v>3532</v>
          </cell>
          <cell r="B91" t="str">
            <v>Sammlergalerie - Schmuck</v>
          </cell>
        </row>
        <row r="92">
          <cell r="A92">
            <v>3533</v>
          </cell>
          <cell r="B92" t="str">
            <v>Sammlergalerie - Collectables</v>
          </cell>
        </row>
        <row r="93">
          <cell r="A93">
            <v>3534</v>
          </cell>
          <cell r="B93" t="str">
            <v>Sammlergalerie - Fashion</v>
          </cell>
        </row>
        <row r="94">
          <cell r="A94">
            <v>3571</v>
          </cell>
          <cell r="B94" t="str">
            <v>Dr. Ehrlichs Gesundkatalog</v>
          </cell>
        </row>
        <row r="95">
          <cell r="A95">
            <v>3581</v>
          </cell>
          <cell r="B95" t="str">
            <v>WoolOvers</v>
          </cell>
        </row>
        <row r="96">
          <cell r="A96">
            <v>3591</v>
          </cell>
          <cell r="B96" t="str">
            <v>Malta Nutrition - Gesundheit</v>
          </cell>
        </row>
        <row r="97">
          <cell r="A97">
            <v>3592</v>
          </cell>
          <cell r="B97" t="str">
            <v>Malta Nutrition - Potenz</v>
          </cell>
        </row>
        <row r="98">
          <cell r="A98">
            <v>3593</v>
          </cell>
          <cell r="B98" t="str">
            <v>Malta Nutrition - Schlank</v>
          </cell>
        </row>
        <row r="99">
          <cell r="A99">
            <v>3611</v>
          </cell>
          <cell r="B99" t="str">
            <v>Biomedicals - Vital DocVital</v>
          </cell>
        </row>
        <row r="100">
          <cell r="A100">
            <v>3631</v>
          </cell>
          <cell r="B100" t="str">
            <v>Primus</v>
          </cell>
        </row>
        <row r="101">
          <cell r="A101">
            <v>3641</v>
          </cell>
          <cell r="B101" t="str">
            <v>PranaHaus</v>
          </cell>
        </row>
        <row r="102">
          <cell r="A102">
            <v>3651</v>
          </cell>
          <cell r="B102" t="str">
            <v>Pure Collection</v>
          </cell>
        </row>
        <row r="103">
          <cell r="A103">
            <v>3661</v>
          </cell>
          <cell r="B103" t="str">
            <v>Spoke London</v>
          </cell>
        </row>
        <row r="104">
          <cell r="A104">
            <v>3671</v>
          </cell>
          <cell r="B104" t="str">
            <v>Gina Laura</v>
          </cell>
        </row>
        <row r="105">
          <cell r="A105">
            <v>3681</v>
          </cell>
          <cell r="B105" t="str">
            <v>Kettlewell Colours</v>
          </cell>
        </row>
        <row r="106">
          <cell r="A106">
            <v>3691</v>
          </cell>
          <cell r="B106" t="str">
            <v>eb fußelastic</v>
          </cell>
        </row>
        <row r="107">
          <cell r="A107">
            <v>3701</v>
          </cell>
          <cell r="B107" t="str">
            <v>One World Communication</v>
          </cell>
        </row>
        <row r="108">
          <cell r="A108">
            <v>3721</v>
          </cell>
          <cell r="B108" t="str">
            <v>Bioperf - Power Best</v>
          </cell>
        </row>
        <row r="109">
          <cell r="A109">
            <v>3722</v>
          </cell>
          <cell r="B109" t="str">
            <v>Bioperf - Best Slim</v>
          </cell>
        </row>
        <row r="110">
          <cell r="A110">
            <v>3731</v>
          </cell>
          <cell r="B110" t="str">
            <v>Fullnat</v>
          </cell>
        </row>
        <row r="111">
          <cell r="A111">
            <v>3741</v>
          </cell>
          <cell r="B111" t="str">
            <v>mcs</v>
          </cell>
        </row>
        <row r="112">
          <cell r="A112">
            <v>3761</v>
          </cell>
          <cell r="B112" t="str">
            <v>Restoration Hardware</v>
          </cell>
        </row>
        <row r="113">
          <cell r="A113">
            <v>3771</v>
          </cell>
          <cell r="B113" t="str">
            <v>Astorga</v>
          </cell>
        </row>
        <row r="114">
          <cell r="A114">
            <v>6010</v>
          </cell>
          <cell r="B114" t="str">
            <v>A_Charles Tyrwhitt</v>
          </cell>
        </row>
        <row r="115">
          <cell r="A115">
            <v>6040</v>
          </cell>
          <cell r="B115" t="str">
            <v>A_Archiv Verlag</v>
          </cell>
        </row>
        <row r="116">
          <cell r="A116">
            <v>6080</v>
          </cell>
          <cell r="B116" t="str">
            <v>A_HMK V - Münzkontor</v>
          </cell>
        </row>
        <row r="117">
          <cell r="A117">
            <v>6081</v>
          </cell>
          <cell r="B117" t="str">
            <v>A_HMK V - Aura Natura</v>
          </cell>
        </row>
        <row r="118">
          <cell r="A118">
            <v>6241</v>
          </cell>
          <cell r="B118" t="str">
            <v>A_IM Shopping Allianz - Schöner Leben</v>
          </cell>
        </row>
        <row r="119">
          <cell r="A119">
            <v>6242</v>
          </cell>
          <cell r="B119" t="str">
            <v>A_IM Shopping Allianz - Juno</v>
          </cell>
        </row>
        <row r="120">
          <cell r="A120">
            <v>6249</v>
          </cell>
          <cell r="B120" t="str">
            <v>A_IM Shopping Allianz - Pantador</v>
          </cell>
        </row>
        <row r="121">
          <cell r="A121">
            <v>6390</v>
          </cell>
          <cell r="B121" t="str">
            <v>A_Aslan - Herrenkapsel</v>
          </cell>
        </row>
        <row r="122">
          <cell r="A122">
            <v>6391</v>
          </cell>
          <cell r="B122" t="str">
            <v>A_Aslan - Gesundheit</v>
          </cell>
        </row>
        <row r="123">
          <cell r="A123">
            <v>6610</v>
          </cell>
          <cell r="B123" t="str">
            <v>A_Reppa</v>
          </cell>
        </row>
        <row r="124">
          <cell r="A124">
            <v>6650</v>
          </cell>
          <cell r="B124" t="str">
            <v>A_Winters Wein</v>
          </cell>
        </row>
        <row r="125">
          <cell r="A125">
            <v>6730</v>
          </cell>
          <cell r="B125" t="str">
            <v>A_Giordano</v>
          </cell>
        </row>
        <row r="126">
          <cell r="A126">
            <v>7111</v>
          </cell>
          <cell r="B126" t="str">
            <v>A_FID Verlag - Vermögen-Invest</v>
          </cell>
        </row>
        <row r="127">
          <cell r="A127">
            <v>7112</v>
          </cell>
          <cell r="B127" t="str">
            <v>A_FID Verlag - Gesundheit-Erfolg-Glück</v>
          </cell>
        </row>
        <row r="128">
          <cell r="A128">
            <v>7120</v>
          </cell>
          <cell r="B128" t="str">
            <v>A_The Bradford Exchange</v>
          </cell>
        </row>
        <row r="129">
          <cell r="A129">
            <v>7190</v>
          </cell>
          <cell r="B129" t="str">
            <v>A_JP Boden</v>
          </cell>
        </row>
        <row r="130">
          <cell r="A130">
            <v>7211</v>
          </cell>
          <cell r="B130" t="str">
            <v>A_VNR Verlag - Vermögen-Invest</v>
          </cell>
        </row>
        <row r="131">
          <cell r="A131">
            <v>7212</v>
          </cell>
          <cell r="B131" t="str">
            <v>A_VNR Verlag - Simplify</v>
          </cell>
        </row>
        <row r="132">
          <cell r="A132">
            <v>7213</v>
          </cell>
          <cell r="B132" t="str">
            <v>A_VNR Verlag - Computer</v>
          </cell>
        </row>
        <row r="133">
          <cell r="A133">
            <v>7214</v>
          </cell>
          <cell r="B133" t="str">
            <v>A_VNR Verlag - Senioren Abo</v>
          </cell>
        </row>
        <row r="134">
          <cell r="A134">
            <v>7270</v>
          </cell>
          <cell r="B134" t="str">
            <v>A_bild der wissenschaft</v>
          </cell>
        </row>
        <row r="135">
          <cell r="A135">
            <v>7421</v>
          </cell>
          <cell r="B135" t="str">
            <v>A_Eurotops Versand</v>
          </cell>
        </row>
        <row r="136">
          <cell r="A136">
            <v>7422</v>
          </cell>
          <cell r="B136" t="str">
            <v>A_Eurotops Versand - Sanpura</v>
          </cell>
        </row>
        <row r="137">
          <cell r="A137">
            <v>7423</v>
          </cell>
          <cell r="B137" t="str">
            <v>A_Eurotops Versand - Inspirationen</v>
          </cell>
        </row>
        <row r="138">
          <cell r="A138">
            <v>7424</v>
          </cell>
          <cell r="B138" t="str">
            <v>A_Eurotops Versand - Männersache</v>
          </cell>
        </row>
        <row r="139">
          <cell r="A139">
            <v>7682</v>
          </cell>
          <cell r="B139" t="str">
            <v>A_Hacienda Verde</v>
          </cell>
        </row>
        <row r="140">
          <cell r="A140">
            <v>7721</v>
          </cell>
          <cell r="B140" t="str">
            <v>A_LOBERON</v>
          </cell>
        </row>
        <row r="141">
          <cell r="A141">
            <v>7921</v>
          </cell>
          <cell r="B141" t="str">
            <v>A_Selective Marketplace - Wrap</v>
          </cell>
        </row>
        <row r="142">
          <cell r="A142">
            <v>7922</v>
          </cell>
          <cell r="B142" t="str">
            <v>A_Selective Marketplace - Poetry</v>
          </cell>
        </row>
        <row r="143">
          <cell r="A143">
            <v>7991</v>
          </cell>
          <cell r="B143" t="str">
            <v>A_Goldner</v>
          </cell>
        </row>
        <row r="144">
          <cell r="A144">
            <v>8041</v>
          </cell>
          <cell r="B144" t="str">
            <v>A_Fiddiam - Nutriform</v>
          </cell>
        </row>
        <row r="145">
          <cell r="A145">
            <v>8051</v>
          </cell>
          <cell r="B145" t="str">
            <v>A_BTN</v>
          </cell>
        </row>
        <row r="146">
          <cell r="A146">
            <v>8071</v>
          </cell>
          <cell r="B146" t="str">
            <v>A_Deerberg</v>
          </cell>
        </row>
        <row r="147">
          <cell r="A147">
            <v>8111</v>
          </cell>
          <cell r="B147" t="str">
            <v>A_Jungborn</v>
          </cell>
        </row>
        <row r="148">
          <cell r="A148">
            <v>8201</v>
          </cell>
          <cell r="B148" t="str">
            <v>A_Viabiona</v>
          </cell>
        </row>
        <row r="149">
          <cell r="A149">
            <v>8202</v>
          </cell>
          <cell r="B149" t="str">
            <v>A_Nutribiona</v>
          </cell>
        </row>
        <row r="150">
          <cell r="A150">
            <v>8231</v>
          </cell>
          <cell r="B150" t="str">
            <v>A_IKARUS DESIGN HANDEL</v>
          </cell>
        </row>
        <row r="151">
          <cell r="A151">
            <v>8271</v>
          </cell>
          <cell r="B151" t="str">
            <v>A_Maas Natur</v>
          </cell>
        </row>
        <row r="152">
          <cell r="A152">
            <v>8281</v>
          </cell>
          <cell r="B152" t="str">
            <v>A_Madeleine</v>
          </cell>
        </row>
        <row r="153">
          <cell r="A153">
            <v>8321</v>
          </cell>
          <cell r="B153" t="str">
            <v>A_Linvosges</v>
          </cell>
        </row>
        <row r="154">
          <cell r="A154">
            <v>8361</v>
          </cell>
          <cell r="B154" t="str">
            <v>A_GARPA</v>
          </cell>
        </row>
        <row r="155">
          <cell r="A155">
            <v>8451</v>
          </cell>
          <cell r="B155" t="str">
            <v>A_Aura Natura</v>
          </cell>
        </row>
        <row r="156">
          <cell r="A156">
            <v>8531</v>
          </cell>
          <cell r="B156" t="str">
            <v>A_Sammlergalerie - Münze</v>
          </cell>
        </row>
        <row r="157">
          <cell r="A157">
            <v>8532</v>
          </cell>
          <cell r="B157" t="str">
            <v>A_Sammlergalerie - Schmuck</v>
          </cell>
        </row>
        <row r="158">
          <cell r="A158">
            <v>8533</v>
          </cell>
          <cell r="B158" t="str">
            <v>A_Sammlergalerie - Collectables</v>
          </cell>
        </row>
        <row r="159">
          <cell r="A159">
            <v>8731</v>
          </cell>
          <cell r="B159" t="str">
            <v>A_Fullnat</v>
          </cell>
        </row>
        <row r="160">
          <cell r="A160">
            <v>3781</v>
          </cell>
          <cell r="B160" t="str">
            <v>Nebulus</v>
          </cell>
        </row>
        <row r="161">
          <cell r="A161">
            <v>2931</v>
          </cell>
          <cell r="B161" t="str">
            <v>Gudrun Sjöden GmbH</v>
          </cell>
        </row>
        <row r="162">
          <cell r="A162">
            <v>8571</v>
          </cell>
          <cell r="B162" t="str">
            <v>A_Dr. Ehrlich Gesundkatalog</v>
          </cell>
        </row>
        <row r="163">
          <cell r="A163">
            <v>3791</v>
          </cell>
          <cell r="B163" t="str">
            <v>Eldora - Diemer</v>
          </cell>
        </row>
        <row r="164">
          <cell r="A164">
            <v>3801</v>
          </cell>
          <cell r="B164" t="str">
            <v>Peruvian Connection</v>
          </cell>
        </row>
        <row r="165">
          <cell r="A165">
            <v>3452</v>
          </cell>
          <cell r="B165" t="str">
            <v>AN Schweiz - Wellsana</v>
          </cell>
        </row>
        <row r="166">
          <cell r="A166">
            <v>7931</v>
          </cell>
          <cell r="B166" t="str">
            <v>A_Gudrun Sjöden GmbH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X81"/>
  <sheetViews>
    <sheetView topLeftCell="A52" zoomScale="85" zoomScaleNormal="85" workbookViewId="0">
      <selection activeCell="B71" activeCellId="3" sqref="B15:B24 B33:B42 B53:B62 B71:B80"/>
    </sheetView>
  </sheetViews>
  <sheetFormatPr baseColWidth="10" defaultColWidth="9.140625" defaultRowHeight="15" x14ac:dyDescent="0.25"/>
  <cols>
    <col min="1" max="1" width="21.5703125" customWidth="1"/>
    <col min="2" max="2" width="21.28515625" customWidth="1"/>
    <col min="3" max="3" width="7.42578125" bestFit="1" customWidth="1"/>
    <col min="4" max="4" width="9.7109375" bestFit="1" customWidth="1"/>
    <col min="5" max="5" width="7.42578125" bestFit="1" customWidth="1"/>
    <col min="6" max="6" width="9.7109375" bestFit="1" customWidth="1"/>
    <col min="7" max="7" width="7.42578125" bestFit="1" customWidth="1"/>
    <col min="8" max="8" width="9.7109375" bestFit="1" customWidth="1"/>
    <col min="9" max="9" width="7.7109375" bestFit="1" customWidth="1"/>
    <col min="10" max="10" width="9.7109375" bestFit="1" customWidth="1"/>
    <col min="11" max="11" width="7.42578125" bestFit="1" customWidth="1"/>
    <col min="12" max="12" width="9.7109375" bestFit="1" customWidth="1"/>
    <col min="13" max="13" width="7.42578125" bestFit="1" customWidth="1"/>
    <col min="14" max="14" width="9.7109375" bestFit="1" customWidth="1"/>
    <col min="15" max="15" width="7.42578125" bestFit="1" customWidth="1"/>
    <col min="16" max="16" width="9.7109375" bestFit="1" customWidth="1"/>
    <col min="17" max="17" width="7.7109375" bestFit="1" customWidth="1"/>
    <col min="18" max="18" width="9.7109375" bestFit="1" customWidth="1"/>
    <col min="19" max="19" width="7.7109375" bestFit="1" customWidth="1"/>
    <col min="20" max="20" width="9.7109375" bestFit="1" customWidth="1"/>
    <col min="21" max="21" width="7.7109375" bestFit="1" customWidth="1"/>
    <col min="22" max="22" width="9.7109375" bestFit="1" customWidth="1"/>
    <col min="23" max="23" width="7.42578125" bestFit="1" customWidth="1"/>
    <col min="24" max="24" width="9.7109375" bestFit="1" customWidth="1"/>
    <col min="25" max="25" width="7.42578125" bestFit="1" customWidth="1"/>
    <col min="26" max="26" width="9.7109375" bestFit="1" customWidth="1"/>
    <col min="27" max="27" width="7.42578125" bestFit="1" customWidth="1"/>
    <col min="28" max="28" width="9.7109375" bestFit="1" customWidth="1"/>
    <col min="29" max="29" width="7.42578125" bestFit="1" customWidth="1"/>
    <col min="30" max="30" width="9.7109375" bestFit="1" customWidth="1"/>
    <col min="31" max="31" width="7.7109375" bestFit="1" customWidth="1"/>
    <col min="32" max="32" width="9.7109375" bestFit="1" customWidth="1"/>
    <col min="33" max="33" width="7.7109375" bestFit="1" customWidth="1"/>
    <col min="34" max="34" width="9.7109375" bestFit="1" customWidth="1"/>
    <col min="35" max="35" width="7.42578125" bestFit="1" customWidth="1"/>
    <col min="36" max="36" width="9.7109375" bestFit="1" customWidth="1"/>
    <col min="37" max="37" width="7.42578125" bestFit="1" customWidth="1"/>
    <col min="38" max="38" width="9.7109375" bestFit="1" customWidth="1"/>
    <col min="39" max="39" width="7.7109375" bestFit="1" customWidth="1"/>
    <col min="40" max="40" width="9.7109375" bestFit="1" customWidth="1"/>
    <col min="41" max="41" width="7.7109375" bestFit="1" customWidth="1"/>
    <col min="42" max="42" width="9.7109375" bestFit="1" customWidth="1"/>
    <col min="43" max="43" width="7.7109375" bestFit="1" customWidth="1"/>
    <col min="44" max="44" width="9.7109375" bestFit="1" customWidth="1"/>
    <col min="45" max="45" width="7.7109375" bestFit="1" customWidth="1"/>
    <col min="46" max="46" width="9.7109375" bestFit="1" customWidth="1"/>
    <col min="47" max="47" width="7.7109375" bestFit="1" customWidth="1"/>
    <col min="48" max="48" width="9.7109375" bestFit="1" customWidth="1"/>
    <col min="49" max="49" width="7.42578125" bestFit="1" customWidth="1"/>
    <col min="50" max="50" width="9.7109375" bestFit="1" customWidth="1"/>
  </cols>
  <sheetData>
    <row r="5" spans="1:50" x14ac:dyDescent="0.25">
      <c r="A5" s="1" t="s">
        <v>9</v>
      </c>
      <c r="B5" t="str">
        <f ca="1">VLOOKUP(VALUE(LEFT(RIGHT(MID(CELL("Dateiname",A1),FIND("[",CELL("Dateiname",A1))+1,FIND("]",CELL("Dateiname",A1))-FIND("[",CELL("Dateiname",A1))-1),9),4)),[1]REF!A:B,2,FALSE)</f>
        <v>St. Josephs Indianer Hilfswerke e.V.</v>
      </c>
    </row>
    <row r="6" spans="1:50" x14ac:dyDescent="0.25">
      <c r="A6" s="1" t="s">
        <v>10</v>
      </c>
      <c r="B6" t="str">
        <f ca="1">LEFT(MID(CELL("Dateiname",A1),FIND("[",CELL("Dateiname",A1))+1,FIND("]",CELL("Dateiname",A1))-FIND("[",CELL("Dateiname",A1))-1),14)</f>
        <v>2025-12-02-035</v>
      </c>
    </row>
    <row r="7" spans="1:50" x14ac:dyDescent="0.25">
      <c r="A7" s="1" t="s">
        <v>11</v>
      </c>
      <c r="B7" s="2">
        <f ca="1">TODAY()</f>
        <v>45994</v>
      </c>
    </row>
    <row r="10" spans="1:50" x14ac:dyDescent="0.25">
      <c r="A10" t="s">
        <v>8</v>
      </c>
    </row>
    <row r="12" spans="1:50" x14ac:dyDescent="0.25">
      <c r="A12" s="3"/>
      <c r="B12" s="3"/>
      <c r="C12" s="7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7" t="s">
        <v>14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9"/>
    </row>
    <row r="13" spans="1:50" x14ac:dyDescent="0.25">
      <c r="A13" s="3"/>
      <c r="B13" s="3"/>
      <c r="C13" s="7" t="s">
        <v>1</v>
      </c>
      <c r="D13" s="8"/>
      <c r="E13" s="8"/>
      <c r="F13" s="9"/>
      <c r="G13" s="7" t="s">
        <v>0</v>
      </c>
      <c r="H13" s="8"/>
      <c r="I13" s="8"/>
      <c r="J13" s="9"/>
      <c r="K13" s="7" t="s">
        <v>2</v>
      </c>
      <c r="L13" s="8"/>
      <c r="M13" s="8"/>
      <c r="N13" s="9"/>
      <c r="O13" s="7" t="s">
        <v>3</v>
      </c>
      <c r="P13" s="8"/>
      <c r="Q13" s="8"/>
      <c r="R13" s="9"/>
      <c r="S13" s="7" t="s">
        <v>4</v>
      </c>
      <c r="T13" s="8"/>
      <c r="U13" s="8"/>
      <c r="V13" s="9"/>
      <c r="W13" s="7" t="s">
        <v>5</v>
      </c>
      <c r="X13" s="8"/>
      <c r="Y13" s="8"/>
      <c r="Z13" s="9"/>
      <c r="AA13" s="7" t="s">
        <v>1</v>
      </c>
      <c r="AB13" s="8"/>
      <c r="AC13" s="8"/>
      <c r="AD13" s="9"/>
      <c r="AE13" s="7" t="s">
        <v>0</v>
      </c>
      <c r="AF13" s="8"/>
      <c r="AG13" s="8"/>
      <c r="AH13" s="9"/>
      <c r="AI13" s="7" t="s">
        <v>2</v>
      </c>
      <c r="AJ13" s="8"/>
      <c r="AK13" s="8"/>
      <c r="AL13" s="9"/>
      <c r="AM13" s="7" t="s">
        <v>3</v>
      </c>
      <c r="AN13" s="8"/>
      <c r="AO13" s="8"/>
      <c r="AP13" s="9"/>
      <c r="AQ13" s="7" t="s">
        <v>4</v>
      </c>
      <c r="AR13" s="8"/>
      <c r="AS13" s="8"/>
      <c r="AT13" s="9"/>
      <c r="AU13" s="7" t="s">
        <v>5</v>
      </c>
      <c r="AV13" s="8"/>
      <c r="AW13" s="8"/>
      <c r="AX13" s="9"/>
    </row>
    <row r="14" spans="1:50" x14ac:dyDescent="0.25">
      <c r="A14" s="3" t="s">
        <v>6</v>
      </c>
      <c r="B14" s="3" t="s">
        <v>20</v>
      </c>
      <c r="C14" s="3" t="s">
        <v>17</v>
      </c>
      <c r="D14" s="3" t="s">
        <v>19</v>
      </c>
      <c r="E14" s="3" t="s">
        <v>15</v>
      </c>
      <c r="F14" s="3" t="s">
        <v>19</v>
      </c>
      <c r="G14" s="3" t="s">
        <v>17</v>
      </c>
      <c r="H14" s="3" t="s">
        <v>19</v>
      </c>
      <c r="I14" s="3" t="s">
        <v>15</v>
      </c>
      <c r="J14" s="3" t="s">
        <v>19</v>
      </c>
      <c r="K14" s="3" t="s">
        <v>17</v>
      </c>
      <c r="L14" s="3" t="s">
        <v>19</v>
      </c>
      <c r="M14" s="3" t="s">
        <v>15</v>
      </c>
      <c r="N14" s="3" t="s">
        <v>19</v>
      </c>
      <c r="O14" s="3" t="s">
        <v>17</v>
      </c>
      <c r="P14" s="3" t="s">
        <v>19</v>
      </c>
      <c r="Q14" s="3" t="s">
        <v>15</v>
      </c>
      <c r="R14" s="3" t="s">
        <v>19</v>
      </c>
      <c r="S14" s="3" t="s">
        <v>17</v>
      </c>
      <c r="T14" s="3" t="s">
        <v>19</v>
      </c>
      <c r="U14" s="3" t="s">
        <v>15</v>
      </c>
      <c r="V14" s="3" t="s">
        <v>19</v>
      </c>
      <c r="W14" s="3" t="s">
        <v>17</v>
      </c>
      <c r="X14" s="3" t="s">
        <v>19</v>
      </c>
      <c r="Y14" s="3" t="s">
        <v>15</v>
      </c>
      <c r="Z14" s="3" t="s">
        <v>19</v>
      </c>
      <c r="AA14" s="3" t="s">
        <v>17</v>
      </c>
      <c r="AB14" s="3" t="s">
        <v>19</v>
      </c>
      <c r="AC14" s="3" t="s">
        <v>15</v>
      </c>
      <c r="AD14" s="3" t="s">
        <v>19</v>
      </c>
      <c r="AE14" s="3" t="s">
        <v>17</v>
      </c>
      <c r="AF14" s="3" t="s">
        <v>19</v>
      </c>
      <c r="AG14" s="3" t="s">
        <v>15</v>
      </c>
      <c r="AH14" s="3" t="s">
        <v>19</v>
      </c>
      <c r="AI14" s="3" t="s">
        <v>17</v>
      </c>
      <c r="AJ14" s="3" t="s">
        <v>19</v>
      </c>
      <c r="AK14" s="3" t="s">
        <v>15</v>
      </c>
      <c r="AL14" s="3" t="s">
        <v>19</v>
      </c>
      <c r="AM14" s="3" t="s">
        <v>17</v>
      </c>
      <c r="AN14" s="3" t="s">
        <v>19</v>
      </c>
      <c r="AO14" s="3" t="s">
        <v>15</v>
      </c>
      <c r="AP14" s="3" t="s">
        <v>19</v>
      </c>
      <c r="AQ14" s="3" t="s">
        <v>17</v>
      </c>
      <c r="AR14" s="3" t="s">
        <v>19</v>
      </c>
      <c r="AS14" s="3" t="s">
        <v>15</v>
      </c>
      <c r="AT14" s="3" t="s">
        <v>19</v>
      </c>
      <c r="AU14" s="3" t="s">
        <v>17</v>
      </c>
      <c r="AV14" s="3" t="s">
        <v>19</v>
      </c>
      <c r="AW14" s="3" t="s">
        <v>15</v>
      </c>
      <c r="AX14" s="3" t="s">
        <v>19</v>
      </c>
    </row>
    <row r="15" spans="1:50" x14ac:dyDescent="0.25">
      <c r="A15" s="6">
        <v>1</v>
      </c>
      <c r="B15" s="10">
        <v>653</v>
      </c>
      <c r="C15" s="6">
        <v>4737</v>
      </c>
      <c r="D15" s="6">
        <f>C15</f>
        <v>4737</v>
      </c>
      <c r="E15" s="6">
        <v>26299</v>
      </c>
      <c r="F15" s="6">
        <f>E15</f>
        <v>26299</v>
      </c>
      <c r="G15" s="6">
        <v>5564</v>
      </c>
      <c r="H15" s="6">
        <f>G15</f>
        <v>5564</v>
      </c>
      <c r="I15" s="6">
        <v>30480</v>
      </c>
      <c r="J15" s="6">
        <f>I15</f>
        <v>30480</v>
      </c>
      <c r="K15" s="6">
        <v>5047</v>
      </c>
      <c r="L15" s="6">
        <f>K15</f>
        <v>5047</v>
      </c>
      <c r="M15" s="6">
        <v>28180</v>
      </c>
      <c r="N15" s="6">
        <f>M15</f>
        <v>28180</v>
      </c>
      <c r="O15" s="6">
        <v>6021</v>
      </c>
      <c r="P15" s="6">
        <f>O15</f>
        <v>6021</v>
      </c>
      <c r="Q15" s="6">
        <v>33041</v>
      </c>
      <c r="R15" s="6">
        <f>Q15</f>
        <v>33041</v>
      </c>
      <c r="S15" s="6">
        <v>1509</v>
      </c>
      <c r="T15" s="6">
        <f>S15</f>
        <v>1509</v>
      </c>
      <c r="U15" s="6">
        <v>8105</v>
      </c>
      <c r="V15" s="6">
        <f>U15</f>
        <v>8105</v>
      </c>
      <c r="W15" s="6">
        <v>535</v>
      </c>
      <c r="X15" s="6">
        <f>W15</f>
        <v>535</v>
      </c>
      <c r="Y15" s="6">
        <v>3244</v>
      </c>
      <c r="Z15" s="6">
        <f>Y15</f>
        <v>3244</v>
      </c>
      <c r="AA15" s="6">
        <v>3062</v>
      </c>
      <c r="AB15" s="6">
        <f>AA15</f>
        <v>3062</v>
      </c>
      <c r="AC15" s="6">
        <v>19729</v>
      </c>
      <c r="AD15" s="6">
        <f>AC15</f>
        <v>19729</v>
      </c>
      <c r="AE15" s="6">
        <v>4229</v>
      </c>
      <c r="AF15" s="6">
        <f>AE15</f>
        <v>4229</v>
      </c>
      <c r="AG15" s="6">
        <v>26235</v>
      </c>
      <c r="AH15" s="6">
        <f>AG15</f>
        <v>26235</v>
      </c>
      <c r="AI15" s="6">
        <v>3265</v>
      </c>
      <c r="AJ15" s="6">
        <f>AI15</f>
        <v>3265</v>
      </c>
      <c r="AK15" s="6">
        <v>21179</v>
      </c>
      <c r="AL15" s="6">
        <f>AK15</f>
        <v>21179</v>
      </c>
      <c r="AM15" s="6">
        <v>4571</v>
      </c>
      <c r="AN15" s="6">
        <f>AM15</f>
        <v>4571</v>
      </c>
      <c r="AO15" s="6">
        <v>28760</v>
      </c>
      <c r="AP15" s="6">
        <f>AO15</f>
        <v>28760</v>
      </c>
      <c r="AQ15" s="6">
        <v>1848</v>
      </c>
      <c r="AR15" s="6">
        <f>AQ15</f>
        <v>1848</v>
      </c>
      <c r="AS15" s="6">
        <v>11118</v>
      </c>
      <c r="AT15" s="6">
        <f>AS15</f>
        <v>11118</v>
      </c>
      <c r="AU15" s="6">
        <v>542</v>
      </c>
      <c r="AV15" s="6">
        <f>AU15</f>
        <v>542</v>
      </c>
      <c r="AW15" s="6">
        <v>3537</v>
      </c>
      <c r="AX15" s="6">
        <f>AW15</f>
        <v>3537</v>
      </c>
    </row>
    <row r="16" spans="1:50" x14ac:dyDescent="0.25">
      <c r="A16" s="4">
        <v>2</v>
      </c>
      <c r="B16" s="11">
        <v>446</v>
      </c>
      <c r="C16" s="4">
        <v>3854</v>
      </c>
      <c r="D16" s="4">
        <f>C16+D15</f>
        <v>8591</v>
      </c>
      <c r="E16" s="4">
        <v>12064</v>
      </c>
      <c r="F16" s="4">
        <f>E16+F15</f>
        <v>38363</v>
      </c>
      <c r="G16" s="4">
        <v>5401</v>
      </c>
      <c r="H16" s="4">
        <f>G16+H15</f>
        <v>10965</v>
      </c>
      <c r="I16" s="4">
        <v>17203</v>
      </c>
      <c r="J16" s="4">
        <f>I16+J15</f>
        <v>47683</v>
      </c>
      <c r="K16" s="4">
        <v>4183</v>
      </c>
      <c r="L16" s="4">
        <f>K16+L15</f>
        <v>9230</v>
      </c>
      <c r="M16" s="4">
        <v>13244</v>
      </c>
      <c r="N16" s="4">
        <f>M16+N15</f>
        <v>41424</v>
      </c>
      <c r="O16" s="4">
        <v>6034</v>
      </c>
      <c r="P16" s="4">
        <f>O16+P15</f>
        <v>12055</v>
      </c>
      <c r="Q16" s="4">
        <v>19267</v>
      </c>
      <c r="R16" s="4">
        <f>Q16+R15</f>
        <v>52308</v>
      </c>
      <c r="S16" s="4">
        <v>3307</v>
      </c>
      <c r="T16" s="4">
        <f>S16+T15</f>
        <v>4816</v>
      </c>
      <c r="U16" s="4">
        <v>10986</v>
      </c>
      <c r="V16" s="4">
        <f>U16+V15</f>
        <v>19091</v>
      </c>
      <c r="W16" s="4">
        <v>1456</v>
      </c>
      <c r="X16" s="4">
        <f>W16+X15</f>
        <v>1991</v>
      </c>
      <c r="Y16" s="4">
        <v>4963</v>
      </c>
      <c r="Z16" s="4">
        <f>Y16+Z15</f>
        <v>8207</v>
      </c>
      <c r="AA16" s="4">
        <v>3138</v>
      </c>
      <c r="AB16" s="4">
        <f>AA16+AB15</f>
        <v>6200</v>
      </c>
      <c r="AC16" s="4">
        <v>10055</v>
      </c>
      <c r="AD16" s="4">
        <f>AC16+AD15</f>
        <v>29784</v>
      </c>
      <c r="AE16" s="4">
        <v>5719</v>
      </c>
      <c r="AF16" s="4">
        <f>AE16+AF15</f>
        <v>9948</v>
      </c>
      <c r="AG16" s="4">
        <v>18711</v>
      </c>
      <c r="AH16" s="4">
        <f>AG16+AH15</f>
        <v>44946</v>
      </c>
      <c r="AI16" s="4">
        <v>3413</v>
      </c>
      <c r="AJ16" s="4">
        <f>AI16+AJ15</f>
        <v>6678</v>
      </c>
      <c r="AK16" s="4">
        <v>11039</v>
      </c>
      <c r="AL16" s="4">
        <f>AK16+AL15</f>
        <v>32218</v>
      </c>
      <c r="AM16" s="4">
        <v>6329</v>
      </c>
      <c r="AN16" s="4">
        <f>AM16+AN15</f>
        <v>10900</v>
      </c>
      <c r="AO16" s="4">
        <v>21058</v>
      </c>
      <c r="AP16" s="4">
        <f>AO16+AP15</f>
        <v>49818</v>
      </c>
      <c r="AQ16" s="4">
        <v>4607</v>
      </c>
      <c r="AR16" s="4">
        <f>AQ16+AR15</f>
        <v>6455</v>
      </c>
      <c r="AS16" s="4">
        <v>15457</v>
      </c>
      <c r="AT16" s="4">
        <f>AS16+AT15</f>
        <v>26575</v>
      </c>
      <c r="AU16" s="4">
        <v>1691</v>
      </c>
      <c r="AV16" s="4">
        <f>AU16+AV15</f>
        <v>2233</v>
      </c>
      <c r="AW16" s="4">
        <v>5438</v>
      </c>
      <c r="AX16" s="4">
        <f>AW16+AX15</f>
        <v>8975</v>
      </c>
    </row>
    <row r="17" spans="1:50" x14ac:dyDescent="0.25">
      <c r="A17" s="6">
        <v>3</v>
      </c>
      <c r="B17" s="11">
        <v>315</v>
      </c>
      <c r="C17" s="6">
        <v>3534</v>
      </c>
      <c r="D17" s="6">
        <f t="shared" ref="D17:D24" si="0">C17+D16</f>
        <v>12125</v>
      </c>
      <c r="E17" s="6">
        <v>7718</v>
      </c>
      <c r="F17" s="6">
        <f t="shared" ref="F17:F24" si="1">E17+F16</f>
        <v>46081</v>
      </c>
      <c r="G17" s="6">
        <v>5906</v>
      </c>
      <c r="H17" s="6">
        <f t="shared" ref="H17:H24" si="2">G17+H16</f>
        <v>16871</v>
      </c>
      <c r="I17" s="6">
        <v>14025</v>
      </c>
      <c r="J17" s="6">
        <f t="shared" ref="J17:J24" si="3">I17+J16</f>
        <v>61708</v>
      </c>
      <c r="K17" s="6">
        <v>3916</v>
      </c>
      <c r="L17" s="6">
        <f t="shared" ref="L17:L24" si="4">K17+L16</f>
        <v>13146</v>
      </c>
      <c r="M17" s="6">
        <v>8590</v>
      </c>
      <c r="N17" s="6">
        <f t="shared" ref="N17:N24" si="5">M17+N16</f>
        <v>50014</v>
      </c>
      <c r="O17" s="6">
        <v>6690</v>
      </c>
      <c r="P17" s="6">
        <f t="shared" ref="P17:P24" si="6">O17+P16</f>
        <v>18745</v>
      </c>
      <c r="Q17" s="6">
        <v>15856</v>
      </c>
      <c r="R17" s="6">
        <f t="shared" ref="R17:R24" si="7">Q17+R16</f>
        <v>68164</v>
      </c>
      <c r="S17" s="6">
        <v>5262</v>
      </c>
      <c r="T17" s="6">
        <f t="shared" ref="T17:T24" si="8">S17+T16</f>
        <v>10078</v>
      </c>
      <c r="U17" s="6">
        <v>13711</v>
      </c>
      <c r="V17" s="6">
        <f t="shared" ref="V17:V24" si="9">U17+V16</f>
        <v>32802</v>
      </c>
      <c r="W17" s="6">
        <v>2488</v>
      </c>
      <c r="X17" s="6">
        <f t="shared" ref="X17:X24" si="10">W17+X16</f>
        <v>4479</v>
      </c>
      <c r="Y17" s="6">
        <v>6445</v>
      </c>
      <c r="Z17" s="6">
        <f t="shared" ref="Z17:Z24" si="11">Y17+Z16</f>
        <v>14652</v>
      </c>
      <c r="AA17" s="6">
        <v>3190</v>
      </c>
      <c r="AB17" s="6">
        <f t="shared" ref="AB17:AB24" si="12">AA17+AB16</f>
        <v>9390</v>
      </c>
      <c r="AC17" s="6">
        <v>7021</v>
      </c>
      <c r="AD17" s="6">
        <f t="shared" ref="AD17:AD24" si="13">AC17+AD16</f>
        <v>36805</v>
      </c>
      <c r="AE17" s="6">
        <v>7131</v>
      </c>
      <c r="AF17" s="6">
        <f t="shared" ref="AF17:AF24" si="14">AE17+AF16</f>
        <v>17079</v>
      </c>
      <c r="AG17" s="6">
        <v>16409</v>
      </c>
      <c r="AH17" s="6">
        <f t="shared" ref="AH17:AH24" si="15">AG17+AH16</f>
        <v>61355</v>
      </c>
      <c r="AI17" s="6">
        <v>3530</v>
      </c>
      <c r="AJ17" s="6">
        <f t="shared" ref="AJ17:AJ24" si="16">AI17+AJ16</f>
        <v>10208</v>
      </c>
      <c r="AK17" s="6">
        <v>7791</v>
      </c>
      <c r="AL17" s="6">
        <f t="shared" ref="AL17:AL24" si="17">AK17+AL16</f>
        <v>40009</v>
      </c>
      <c r="AM17" s="6">
        <v>8095</v>
      </c>
      <c r="AN17" s="6">
        <f t="shared" ref="AN17:AN24" si="18">AM17+AN16</f>
        <v>18995</v>
      </c>
      <c r="AO17" s="6">
        <v>18568</v>
      </c>
      <c r="AP17" s="6">
        <f t="shared" ref="AP17:AP24" si="19">AO17+AP16</f>
        <v>68386</v>
      </c>
      <c r="AQ17" s="6">
        <v>7897</v>
      </c>
      <c r="AR17" s="6">
        <f t="shared" ref="AR17:AR24" si="20">AQ17+AR16</f>
        <v>14352</v>
      </c>
      <c r="AS17" s="6">
        <v>17571</v>
      </c>
      <c r="AT17" s="6">
        <f t="shared" ref="AT17:AT24" si="21">AS17+AT16</f>
        <v>44146</v>
      </c>
      <c r="AU17" s="6">
        <v>3332</v>
      </c>
      <c r="AV17" s="6">
        <f t="shared" ref="AV17:AV24" si="22">AU17+AV16</f>
        <v>5565</v>
      </c>
      <c r="AW17" s="6">
        <v>6794</v>
      </c>
      <c r="AX17" s="6">
        <f t="shared" ref="AX17:AX24" si="23">AW17+AX16</f>
        <v>15769</v>
      </c>
    </row>
    <row r="18" spans="1:50" x14ac:dyDescent="0.25">
      <c r="A18" s="4">
        <v>4</v>
      </c>
      <c r="B18" s="11">
        <v>189</v>
      </c>
      <c r="C18" s="4">
        <v>2852</v>
      </c>
      <c r="D18" s="4">
        <f t="shared" si="0"/>
        <v>14977</v>
      </c>
      <c r="E18" s="4">
        <v>4764</v>
      </c>
      <c r="F18" s="4">
        <f t="shared" si="1"/>
        <v>50845</v>
      </c>
      <c r="G18" s="4">
        <v>5811</v>
      </c>
      <c r="H18" s="4">
        <f t="shared" si="2"/>
        <v>22682</v>
      </c>
      <c r="I18" s="4">
        <v>10662</v>
      </c>
      <c r="J18" s="4">
        <f t="shared" si="3"/>
        <v>72370</v>
      </c>
      <c r="K18" s="4">
        <v>3199</v>
      </c>
      <c r="L18" s="4">
        <f t="shared" si="4"/>
        <v>16345</v>
      </c>
      <c r="M18" s="4">
        <v>5290</v>
      </c>
      <c r="N18" s="4">
        <f t="shared" si="5"/>
        <v>55304</v>
      </c>
      <c r="O18" s="4">
        <v>6698</v>
      </c>
      <c r="P18" s="4">
        <f t="shared" si="6"/>
        <v>25443</v>
      </c>
      <c r="Q18" s="4">
        <v>12109</v>
      </c>
      <c r="R18" s="4">
        <f t="shared" si="7"/>
        <v>80273</v>
      </c>
      <c r="S18" s="4">
        <v>7269</v>
      </c>
      <c r="T18" s="4">
        <f t="shared" si="8"/>
        <v>17347</v>
      </c>
      <c r="U18" s="4">
        <v>14099</v>
      </c>
      <c r="V18" s="4">
        <f t="shared" si="9"/>
        <v>46901</v>
      </c>
      <c r="W18" s="4">
        <v>3770</v>
      </c>
      <c r="X18" s="4">
        <f t="shared" si="10"/>
        <v>8249</v>
      </c>
      <c r="Y18" s="4">
        <v>7280</v>
      </c>
      <c r="Z18" s="4">
        <f t="shared" si="11"/>
        <v>21932</v>
      </c>
      <c r="AA18" s="4">
        <v>2688</v>
      </c>
      <c r="AB18" s="4">
        <f t="shared" si="12"/>
        <v>12078</v>
      </c>
      <c r="AC18" s="4">
        <v>4570</v>
      </c>
      <c r="AD18" s="4">
        <f t="shared" si="13"/>
        <v>41375</v>
      </c>
      <c r="AE18" s="4">
        <v>7379</v>
      </c>
      <c r="AF18" s="4">
        <f t="shared" si="14"/>
        <v>24458</v>
      </c>
      <c r="AG18" s="4">
        <v>12663</v>
      </c>
      <c r="AH18" s="4">
        <f t="shared" si="15"/>
        <v>74018</v>
      </c>
      <c r="AI18" s="4">
        <v>2984</v>
      </c>
      <c r="AJ18" s="4">
        <f t="shared" si="16"/>
        <v>13192</v>
      </c>
      <c r="AK18" s="4">
        <v>5132</v>
      </c>
      <c r="AL18" s="4">
        <f t="shared" si="17"/>
        <v>45141</v>
      </c>
      <c r="AM18" s="4">
        <v>8476</v>
      </c>
      <c r="AN18" s="4">
        <f t="shared" si="18"/>
        <v>27471</v>
      </c>
      <c r="AO18" s="4">
        <v>14482</v>
      </c>
      <c r="AP18" s="4">
        <f t="shared" si="19"/>
        <v>82868</v>
      </c>
      <c r="AQ18" s="4">
        <v>10412</v>
      </c>
      <c r="AR18" s="4">
        <f t="shared" si="20"/>
        <v>24764</v>
      </c>
      <c r="AS18" s="4">
        <v>16977</v>
      </c>
      <c r="AT18" s="4">
        <f t="shared" si="21"/>
        <v>61123</v>
      </c>
      <c r="AU18" s="4">
        <v>4920</v>
      </c>
      <c r="AV18" s="4">
        <f t="shared" si="22"/>
        <v>10485</v>
      </c>
      <c r="AW18" s="4">
        <v>7627</v>
      </c>
      <c r="AX18" s="4">
        <f t="shared" si="23"/>
        <v>23396</v>
      </c>
    </row>
    <row r="19" spans="1:50" x14ac:dyDescent="0.25">
      <c r="A19" s="6">
        <v>5</v>
      </c>
      <c r="B19" s="11">
        <v>121</v>
      </c>
      <c r="C19" s="6">
        <v>2613</v>
      </c>
      <c r="D19" s="6">
        <f t="shared" si="0"/>
        <v>17590</v>
      </c>
      <c r="E19" s="6">
        <v>3439</v>
      </c>
      <c r="F19" s="6">
        <f t="shared" si="1"/>
        <v>54284</v>
      </c>
      <c r="G19" s="6">
        <v>6207</v>
      </c>
      <c r="H19" s="6">
        <f t="shared" si="2"/>
        <v>28889</v>
      </c>
      <c r="I19" s="6">
        <v>8909</v>
      </c>
      <c r="J19" s="6">
        <f t="shared" si="3"/>
        <v>81279</v>
      </c>
      <c r="K19" s="6">
        <v>2981</v>
      </c>
      <c r="L19" s="6">
        <f t="shared" si="4"/>
        <v>19326</v>
      </c>
      <c r="M19" s="6">
        <v>3835</v>
      </c>
      <c r="N19" s="6">
        <f t="shared" si="5"/>
        <v>59139</v>
      </c>
      <c r="O19" s="6">
        <v>7300</v>
      </c>
      <c r="P19" s="6">
        <f t="shared" si="6"/>
        <v>32743</v>
      </c>
      <c r="Q19" s="6">
        <v>10187</v>
      </c>
      <c r="R19" s="6">
        <f t="shared" si="7"/>
        <v>90460</v>
      </c>
      <c r="S19" s="6">
        <v>9293</v>
      </c>
      <c r="T19" s="6">
        <f t="shared" si="8"/>
        <v>26640</v>
      </c>
      <c r="U19" s="6">
        <v>14065</v>
      </c>
      <c r="V19" s="6">
        <f t="shared" si="9"/>
        <v>60966</v>
      </c>
      <c r="W19" s="6">
        <v>4974</v>
      </c>
      <c r="X19" s="6">
        <f t="shared" si="10"/>
        <v>13223</v>
      </c>
      <c r="Y19" s="6">
        <v>7713</v>
      </c>
      <c r="Z19" s="6">
        <f t="shared" si="11"/>
        <v>29645</v>
      </c>
      <c r="AA19" s="6">
        <v>2626</v>
      </c>
      <c r="AB19" s="6">
        <f t="shared" si="12"/>
        <v>14704</v>
      </c>
      <c r="AC19" s="6">
        <v>3513</v>
      </c>
      <c r="AD19" s="6">
        <f t="shared" si="13"/>
        <v>44888</v>
      </c>
      <c r="AE19" s="6">
        <v>8526</v>
      </c>
      <c r="AF19" s="6">
        <f t="shared" si="14"/>
        <v>32984</v>
      </c>
      <c r="AG19" s="6">
        <v>10761</v>
      </c>
      <c r="AH19" s="6">
        <f t="shared" si="15"/>
        <v>84779</v>
      </c>
      <c r="AI19" s="6">
        <v>2972</v>
      </c>
      <c r="AJ19" s="6">
        <f t="shared" si="16"/>
        <v>16164</v>
      </c>
      <c r="AK19" s="6">
        <v>3922</v>
      </c>
      <c r="AL19" s="6">
        <f t="shared" si="17"/>
        <v>49063</v>
      </c>
      <c r="AM19" s="6">
        <v>9930</v>
      </c>
      <c r="AN19" s="6">
        <f t="shared" si="18"/>
        <v>37401</v>
      </c>
      <c r="AO19" s="6">
        <v>12403</v>
      </c>
      <c r="AP19" s="6">
        <f t="shared" si="19"/>
        <v>95271</v>
      </c>
      <c r="AQ19" s="6">
        <v>13549</v>
      </c>
      <c r="AR19" s="6">
        <f t="shared" si="20"/>
        <v>38313</v>
      </c>
      <c r="AS19" s="6">
        <v>16141</v>
      </c>
      <c r="AT19" s="6">
        <f t="shared" si="21"/>
        <v>77264</v>
      </c>
      <c r="AU19" s="6">
        <v>6591</v>
      </c>
      <c r="AV19" s="6">
        <f t="shared" si="22"/>
        <v>17076</v>
      </c>
      <c r="AW19" s="6">
        <v>7660</v>
      </c>
      <c r="AX19" s="6">
        <f t="shared" si="23"/>
        <v>31056</v>
      </c>
    </row>
    <row r="20" spans="1:50" x14ac:dyDescent="0.25">
      <c r="A20" s="4">
        <v>6</v>
      </c>
      <c r="B20" s="11">
        <v>95</v>
      </c>
      <c r="C20" s="4">
        <v>2638</v>
      </c>
      <c r="D20" s="4">
        <f t="shared" si="0"/>
        <v>20228</v>
      </c>
      <c r="E20" s="4">
        <v>2660</v>
      </c>
      <c r="F20" s="4">
        <f t="shared" si="1"/>
        <v>56944</v>
      </c>
      <c r="G20" s="4">
        <v>7057</v>
      </c>
      <c r="H20" s="4">
        <f t="shared" si="2"/>
        <v>35946</v>
      </c>
      <c r="I20" s="4">
        <v>7819</v>
      </c>
      <c r="J20" s="4">
        <f t="shared" si="3"/>
        <v>89098</v>
      </c>
      <c r="K20" s="4">
        <v>2963</v>
      </c>
      <c r="L20" s="4">
        <f t="shared" si="4"/>
        <v>22289</v>
      </c>
      <c r="M20" s="4">
        <v>2987</v>
      </c>
      <c r="N20" s="4">
        <f t="shared" si="5"/>
        <v>62126</v>
      </c>
      <c r="O20" s="4">
        <v>8304</v>
      </c>
      <c r="P20" s="4">
        <f t="shared" si="6"/>
        <v>41047</v>
      </c>
      <c r="Q20" s="4">
        <v>8942</v>
      </c>
      <c r="R20" s="4">
        <f t="shared" si="7"/>
        <v>99402</v>
      </c>
      <c r="S20" s="4">
        <v>12148</v>
      </c>
      <c r="T20" s="4">
        <f t="shared" si="8"/>
        <v>38788</v>
      </c>
      <c r="U20" s="4">
        <v>13426</v>
      </c>
      <c r="V20" s="4">
        <f t="shared" si="9"/>
        <v>74392</v>
      </c>
      <c r="W20" s="4">
        <v>6807</v>
      </c>
      <c r="X20" s="4">
        <f t="shared" si="10"/>
        <v>20030</v>
      </c>
      <c r="Y20" s="4">
        <v>7471</v>
      </c>
      <c r="Z20" s="4">
        <f t="shared" si="11"/>
        <v>37116</v>
      </c>
      <c r="AA20" s="4">
        <v>2925</v>
      </c>
      <c r="AB20" s="4">
        <f t="shared" si="12"/>
        <v>17629</v>
      </c>
      <c r="AC20" s="4">
        <v>3178</v>
      </c>
      <c r="AD20" s="4">
        <f t="shared" si="13"/>
        <v>48066</v>
      </c>
      <c r="AE20" s="4">
        <v>10280</v>
      </c>
      <c r="AF20" s="4">
        <f t="shared" si="14"/>
        <v>43264</v>
      </c>
      <c r="AG20" s="4">
        <v>10463</v>
      </c>
      <c r="AH20" s="4">
        <f t="shared" si="15"/>
        <v>95242</v>
      </c>
      <c r="AI20" s="4">
        <v>3311</v>
      </c>
      <c r="AJ20" s="4">
        <f t="shared" si="16"/>
        <v>19475</v>
      </c>
      <c r="AK20" s="4">
        <v>3550</v>
      </c>
      <c r="AL20" s="4">
        <f t="shared" si="17"/>
        <v>52613</v>
      </c>
      <c r="AM20" s="4">
        <v>12037</v>
      </c>
      <c r="AN20" s="4">
        <f t="shared" si="18"/>
        <v>49438</v>
      </c>
      <c r="AO20" s="4">
        <v>11929</v>
      </c>
      <c r="AP20" s="4">
        <f t="shared" si="19"/>
        <v>107200</v>
      </c>
      <c r="AQ20" s="4">
        <v>18232</v>
      </c>
      <c r="AR20" s="4">
        <f t="shared" si="20"/>
        <v>56545</v>
      </c>
      <c r="AS20" s="4">
        <v>15767</v>
      </c>
      <c r="AT20" s="4">
        <f t="shared" si="21"/>
        <v>93031</v>
      </c>
      <c r="AU20" s="4">
        <v>9506</v>
      </c>
      <c r="AV20" s="4">
        <f t="shared" si="22"/>
        <v>26582</v>
      </c>
      <c r="AW20" s="4">
        <v>7388</v>
      </c>
      <c r="AX20" s="4">
        <f t="shared" si="23"/>
        <v>38444</v>
      </c>
    </row>
    <row r="21" spans="1:50" x14ac:dyDescent="0.25">
      <c r="A21" s="6">
        <v>7</v>
      </c>
      <c r="B21" s="11">
        <v>67</v>
      </c>
      <c r="C21" s="6">
        <v>2329</v>
      </c>
      <c r="D21" s="6">
        <f t="shared" si="0"/>
        <v>22557</v>
      </c>
      <c r="E21" s="6">
        <v>2134</v>
      </c>
      <c r="F21" s="6">
        <f t="shared" si="1"/>
        <v>59078</v>
      </c>
      <c r="G21" s="6">
        <v>7456</v>
      </c>
      <c r="H21" s="6">
        <f t="shared" si="2"/>
        <v>43402</v>
      </c>
      <c r="I21" s="6">
        <v>6884</v>
      </c>
      <c r="J21" s="6">
        <f t="shared" si="3"/>
        <v>95982</v>
      </c>
      <c r="K21" s="6">
        <v>2649</v>
      </c>
      <c r="L21" s="6">
        <f t="shared" si="4"/>
        <v>24938</v>
      </c>
      <c r="M21" s="6">
        <v>2373</v>
      </c>
      <c r="N21" s="6">
        <f t="shared" si="5"/>
        <v>64499</v>
      </c>
      <c r="O21" s="6">
        <v>8827</v>
      </c>
      <c r="P21" s="6">
        <f t="shared" si="6"/>
        <v>49874</v>
      </c>
      <c r="Q21" s="6">
        <v>7804</v>
      </c>
      <c r="R21" s="6">
        <f t="shared" si="7"/>
        <v>107206</v>
      </c>
      <c r="S21" s="6">
        <v>14575</v>
      </c>
      <c r="T21" s="6">
        <f t="shared" si="8"/>
        <v>53363</v>
      </c>
      <c r="U21" s="6">
        <v>12714</v>
      </c>
      <c r="V21" s="6">
        <f t="shared" si="9"/>
        <v>87106</v>
      </c>
      <c r="W21" s="6">
        <v>8397</v>
      </c>
      <c r="X21" s="6">
        <f t="shared" si="10"/>
        <v>28427</v>
      </c>
      <c r="Y21" s="6">
        <v>7283</v>
      </c>
      <c r="Z21" s="6">
        <f t="shared" si="11"/>
        <v>44399</v>
      </c>
      <c r="AA21" s="6">
        <v>3101</v>
      </c>
      <c r="AB21" s="6">
        <f t="shared" si="12"/>
        <v>20730</v>
      </c>
      <c r="AC21" s="6">
        <v>2927</v>
      </c>
      <c r="AD21" s="6">
        <f t="shared" si="13"/>
        <v>50993</v>
      </c>
      <c r="AE21" s="6">
        <v>11601</v>
      </c>
      <c r="AF21" s="6">
        <f t="shared" si="14"/>
        <v>54865</v>
      </c>
      <c r="AG21" s="6">
        <v>9263</v>
      </c>
      <c r="AH21" s="6">
        <f t="shared" si="15"/>
        <v>104505</v>
      </c>
      <c r="AI21" s="6">
        <v>3552</v>
      </c>
      <c r="AJ21" s="6">
        <f t="shared" si="16"/>
        <v>23027</v>
      </c>
      <c r="AK21" s="6">
        <v>3271</v>
      </c>
      <c r="AL21" s="6">
        <f t="shared" si="17"/>
        <v>55884</v>
      </c>
      <c r="AM21" s="6">
        <v>13661</v>
      </c>
      <c r="AN21" s="6">
        <f t="shared" si="18"/>
        <v>63099</v>
      </c>
      <c r="AO21" s="6">
        <v>10659</v>
      </c>
      <c r="AP21" s="6">
        <f t="shared" si="19"/>
        <v>117859</v>
      </c>
      <c r="AQ21" s="6">
        <v>21858</v>
      </c>
      <c r="AR21" s="6">
        <f t="shared" si="20"/>
        <v>78403</v>
      </c>
      <c r="AS21" s="6">
        <v>14685</v>
      </c>
      <c r="AT21" s="6">
        <f t="shared" si="21"/>
        <v>107716</v>
      </c>
      <c r="AU21" s="6">
        <v>11749</v>
      </c>
      <c r="AV21" s="6">
        <f t="shared" si="22"/>
        <v>38331</v>
      </c>
      <c r="AW21" s="6">
        <v>7297</v>
      </c>
      <c r="AX21" s="6">
        <f t="shared" si="23"/>
        <v>45741</v>
      </c>
    </row>
    <row r="22" spans="1:50" x14ac:dyDescent="0.25">
      <c r="A22" s="4">
        <v>8</v>
      </c>
      <c r="B22" s="11">
        <v>38</v>
      </c>
      <c r="C22" s="4">
        <v>1956</v>
      </c>
      <c r="D22" s="4">
        <f t="shared" si="0"/>
        <v>24513</v>
      </c>
      <c r="E22" s="4">
        <v>1721</v>
      </c>
      <c r="F22" s="4">
        <f t="shared" si="1"/>
        <v>60799</v>
      </c>
      <c r="G22" s="4">
        <v>6613</v>
      </c>
      <c r="H22" s="4">
        <f t="shared" si="2"/>
        <v>50015</v>
      </c>
      <c r="I22" s="4">
        <v>5783</v>
      </c>
      <c r="J22" s="4">
        <f t="shared" si="3"/>
        <v>101765</v>
      </c>
      <c r="K22" s="4">
        <v>2231</v>
      </c>
      <c r="L22" s="4">
        <f t="shared" si="4"/>
        <v>27169</v>
      </c>
      <c r="M22" s="4">
        <v>1899</v>
      </c>
      <c r="N22" s="4">
        <f t="shared" si="5"/>
        <v>66398</v>
      </c>
      <c r="O22" s="4">
        <v>7858</v>
      </c>
      <c r="P22" s="4">
        <f t="shared" si="6"/>
        <v>57732</v>
      </c>
      <c r="Q22" s="4">
        <v>6560</v>
      </c>
      <c r="R22" s="4">
        <f t="shared" si="7"/>
        <v>113766</v>
      </c>
      <c r="S22" s="4">
        <v>14111</v>
      </c>
      <c r="T22" s="4">
        <f t="shared" si="8"/>
        <v>67474</v>
      </c>
      <c r="U22" s="4">
        <v>10822</v>
      </c>
      <c r="V22" s="4">
        <f t="shared" si="9"/>
        <v>97928</v>
      </c>
      <c r="W22" s="4">
        <v>8484</v>
      </c>
      <c r="X22" s="4">
        <f t="shared" si="10"/>
        <v>36911</v>
      </c>
      <c r="Y22" s="4">
        <v>6161</v>
      </c>
      <c r="Z22" s="4">
        <f t="shared" si="11"/>
        <v>50560</v>
      </c>
      <c r="AA22" s="4">
        <v>4847</v>
      </c>
      <c r="AB22" s="4">
        <f t="shared" si="12"/>
        <v>25577</v>
      </c>
      <c r="AC22" s="4">
        <v>3437</v>
      </c>
      <c r="AD22" s="4">
        <f t="shared" si="13"/>
        <v>54430</v>
      </c>
      <c r="AE22" s="4">
        <v>13721</v>
      </c>
      <c r="AF22" s="4">
        <f t="shared" si="14"/>
        <v>68586</v>
      </c>
      <c r="AG22" s="4">
        <v>8836</v>
      </c>
      <c r="AH22" s="4">
        <f t="shared" si="15"/>
        <v>113341</v>
      </c>
      <c r="AI22" s="4">
        <v>5501</v>
      </c>
      <c r="AJ22" s="4">
        <f t="shared" si="16"/>
        <v>28528</v>
      </c>
      <c r="AK22" s="4">
        <v>3831</v>
      </c>
      <c r="AL22" s="4">
        <f t="shared" si="17"/>
        <v>59715</v>
      </c>
      <c r="AM22" s="4">
        <v>16225</v>
      </c>
      <c r="AN22" s="4">
        <f t="shared" si="18"/>
        <v>79324</v>
      </c>
      <c r="AO22" s="4">
        <v>10271</v>
      </c>
      <c r="AP22" s="4">
        <f t="shared" si="19"/>
        <v>128130</v>
      </c>
      <c r="AQ22" s="4">
        <v>23465</v>
      </c>
      <c r="AR22" s="4">
        <f t="shared" si="20"/>
        <v>101868</v>
      </c>
      <c r="AS22" s="4">
        <v>12769</v>
      </c>
      <c r="AT22" s="4">
        <f t="shared" si="21"/>
        <v>120485</v>
      </c>
      <c r="AU22" s="4">
        <v>12741</v>
      </c>
      <c r="AV22" s="4">
        <f t="shared" si="22"/>
        <v>51072</v>
      </c>
      <c r="AW22" s="4">
        <v>6329</v>
      </c>
      <c r="AX22" s="4">
        <f t="shared" si="23"/>
        <v>52070</v>
      </c>
    </row>
    <row r="23" spans="1:50" x14ac:dyDescent="0.25">
      <c r="A23" s="6">
        <v>9</v>
      </c>
      <c r="B23" s="11">
        <v>14</v>
      </c>
      <c r="C23" s="6">
        <v>1240</v>
      </c>
      <c r="D23" s="6">
        <f t="shared" si="0"/>
        <v>25753</v>
      </c>
      <c r="E23" s="6">
        <v>990</v>
      </c>
      <c r="F23" s="6">
        <f t="shared" si="1"/>
        <v>61789</v>
      </c>
      <c r="G23" s="6">
        <v>5648</v>
      </c>
      <c r="H23" s="6">
        <f t="shared" si="2"/>
        <v>55663</v>
      </c>
      <c r="I23" s="6">
        <v>4413</v>
      </c>
      <c r="J23" s="6">
        <f t="shared" si="3"/>
        <v>106178</v>
      </c>
      <c r="K23" s="6">
        <v>1384</v>
      </c>
      <c r="L23" s="6">
        <f t="shared" si="4"/>
        <v>28553</v>
      </c>
      <c r="M23" s="6">
        <v>1114</v>
      </c>
      <c r="N23" s="6">
        <f t="shared" si="5"/>
        <v>67512</v>
      </c>
      <c r="O23" s="6">
        <v>6566</v>
      </c>
      <c r="P23" s="6">
        <f t="shared" si="6"/>
        <v>64298</v>
      </c>
      <c r="Q23" s="6">
        <v>4976</v>
      </c>
      <c r="R23" s="6">
        <f t="shared" si="7"/>
        <v>118742</v>
      </c>
      <c r="S23" s="6">
        <v>13973</v>
      </c>
      <c r="T23" s="6">
        <f t="shared" si="8"/>
        <v>81447</v>
      </c>
      <c r="U23" s="6">
        <v>8982</v>
      </c>
      <c r="V23" s="6">
        <f t="shared" si="9"/>
        <v>106910</v>
      </c>
      <c r="W23" s="6">
        <v>8791</v>
      </c>
      <c r="X23" s="6">
        <f t="shared" si="10"/>
        <v>45702</v>
      </c>
      <c r="Y23" s="6">
        <v>5120</v>
      </c>
      <c r="Z23" s="6">
        <f t="shared" si="11"/>
        <v>55680</v>
      </c>
      <c r="AA23" s="6">
        <v>7061</v>
      </c>
      <c r="AB23" s="6">
        <f t="shared" si="12"/>
        <v>32638</v>
      </c>
      <c r="AC23" s="6">
        <v>3303</v>
      </c>
      <c r="AD23" s="6">
        <f t="shared" si="13"/>
        <v>57733</v>
      </c>
      <c r="AE23" s="6">
        <v>22360</v>
      </c>
      <c r="AF23" s="6">
        <f t="shared" si="14"/>
        <v>90946</v>
      </c>
      <c r="AG23" s="6">
        <v>8064</v>
      </c>
      <c r="AH23" s="6">
        <f t="shared" si="15"/>
        <v>121405</v>
      </c>
      <c r="AI23" s="6">
        <v>8061</v>
      </c>
      <c r="AJ23" s="6">
        <f t="shared" si="16"/>
        <v>36589</v>
      </c>
      <c r="AK23" s="6">
        <v>3691</v>
      </c>
      <c r="AL23" s="6">
        <f t="shared" si="17"/>
        <v>63406</v>
      </c>
      <c r="AM23" s="6">
        <v>26432</v>
      </c>
      <c r="AN23" s="6">
        <f t="shared" si="18"/>
        <v>105756</v>
      </c>
      <c r="AO23" s="6">
        <v>9381</v>
      </c>
      <c r="AP23" s="6">
        <f t="shared" si="19"/>
        <v>137511</v>
      </c>
      <c r="AQ23" s="6">
        <v>32968</v>
      </c>
      <c r="AR23" s="6">
        <f t="shared" si="20"/>
        <v>134836</v>
      </c>
      <c r="AS23" s="6">
        <v>10892</v>
      </c>
      <c r="AT23" s="6">
        <f t="shared" si="21"/>
        <v>131377</v>
      </c>
      <c r="AU23" s="6">
        <v>14597</v>
      </c>
      <c r="AV23" s="6">
        <f t="shared" si="22"/>
        <v>65669</v>
      </c>
      <c r="AW23" s="6">
        <v>5202</v>
      </c>
      <c r="AX23" s="6">
        <f t="shared" si="23"/>
        <v>57272</v>
      </c>
    </row>
    <row r="24" spans="1:50" x14ac:dyDescent="0.25">
      <c r="A24" s="4">
        <v>10</v>
      </c>
      <c r="B24" s="11">
        <v>7</v>
      </c>
      <c r="C24" s="4">
        <v>876</v>
      </c>
      <c r="D24" s="4">
        <f t="shared" si="0"/>
        <v>26629</v>
      </c>
      <c r="E24" s="4">
        <v>912</v>
      </c>
      <c r="F24" s="4">
        <f t="shared" si="1"/>
        <v>62701</v>
      </c>
      <c r="G24" s="4">
        <v>6006</v>
      </c>
      <c r="H24" s="4">
        <f t="shared" si="2"/>
        <v>61669</v>
      </c>
      <c r="I24" s="4">
        <v>3630</v>
      </c>
      <c r="J24" s="4">
        <f t="shared" si="3"/>
        <v>109808</v>
      </c>
      <c r="K24" s="4">
        <v>987</v>
      </c>
      <c r="L24" s="4">
        <f t="shared" si="4"/>
        <v>29540</v>
      </c>
      <c r="M24" s="4">
        <v>980</v>
      </c>
      <c r="N24" s="4">
        <f t="shared" si="5"/>
        <v>68492</v>
      </c>
      <c r="O24" s="4">
        <v>6881</v>
      </c>
      <c r="P24" s="4">
        <f t="shared" si="6"/>
        <v>71179</v>
      </c>
      <c r="Q24" s="4">
        <v>4017</v>
      </c>
      <c r="R24" s="4">
        <f t="shared" si="7"/>
        <v>122759</v>
      </c>
      <c r="S24" s="4">
        <v>12922</v>
      </c>
      <c r="T24" s="4">
        <f t="shared" si="8"/>
        <v>94369</v>
      </c>
      <c r="U24" s="4">
        <v>5871</v>
      </c>
      <c r="V24" s="4">
        <f t="shared" si="9"/>
        <v>112781</v>
      </c>
      <c r="W24" s="4">
        <v>7028</v>
      </c>
      <c r="X24" s="4">
        <f t="shared" si="10"/>
        <v>52730</v>
      </c>
      <c r="Y24" s="4">
        <v>2834</v>
      </c>
      <c r="Z24" s="4">
        <f t="shared" si="11"/>
        <v>58514</v>
      </c>
      <c r="AA24" s="4">
        <v>10967</v>
      </c>
      <c r="AB24" s="4">
        <f t="shared" si="12"/>
        <v>43605</v>
      </c>
      <c r="AC24" s="4">
        <v>3241</v>
      </c>
      <c r="AD24" s="4">
        <f t="shared" si="13"/>
        <v>60974</v>
      </c>
      <c r="AE24" s="4">
        <v>25020</v>
      </c>
      <c r="AF24" s="4">
        <f t="shared" si="14"/>
        <v>115966</v>
      </c>
      <c r="AG24" s="4">
        <v>6675</v>
      </c>
      <c r="AH24" s="4">
        <f t="shared" si="15"/>
        <v>128080</v>
      </c>
      <c r="AI24" s="4">
        <v>12321</v>
      </c>
      <c r="AJ24" s="4">
        <f t="shared" si="16"/>
        <v>48910</v>
      </c>
      <c r="AK24" s="4">
        <v>3540</v>
      </c>
      <c r="AL24" s="4">
        <f t="shared" si="17"/>
        <v>66946</v>
      </c>
      <c r="AM24" s="4">
        <v>29145</v>
      </c>
      <c r="AN24" s="4">
        <f t="shared" si="18"/>
        <v>134901</v>
      </c>
      <c r="AO24" s="4">
        <v>7545</v>
      </c>
      <c r="AP24" s="4">
        <f t="shared" si="19"/>
        <v>145056</v>
      </c>
      <c r="AQ24" s="4">
        <v>27846</v>
      </c>
      <c r="AR24" s="4">
        <f t="shared" si="20"/>
        <v>162682</v>
      </c>
      <c r="AS24" s="4">
        <v>6830</v>
      </c>
      <c r="AT24" s="4">
        <f t="shared" si="21"/>
        <v>138207</v>
      </c>
      <c r="AU24" s="4">
        <v>11022</v>
      </c>
      <c r="AV24" s="4">
        <f t="shared" si="22"/>
        <v>76691</v>
      </c>
      <c r="AW24" s="4">
        <v>2825</v>
      </c>
      <c r="AX24" s="4">
        <f t="shared" si="23"/>
        <v>60097</v>
      </c>
    </row>
    <row r="25" spans="1:50" x14ac:dyDescent="0.25">
      <c r="A25" s="5" t="s">
        <v>7</v>
      </c>
      <c r="B25" s="5"/>
      <c r="C25" s="5">
        <f>SUM(C15:C24)</f>
        <v>26629</v>
      </c>
      <c r="D25" s="5"/>
      <c r="E25" s="5">
        <f>SUM(E15:E24)</f>
        <v>62701</v>
      </c>
      <c r="F25" s="5"/>
      <c r="G25" s="5">
        <f>SUM(G15:G24)</f>
        <v>61669</v>
      </c>
      <c r="H25" s="5"/>
      <c r="I25" s="5">
        <f>SUM(I15:I24)</f>
        <v>109808</v>
      </c>
      <c r="J25" s="5"/>
      <c r="K25" s="5">
        <f>SUM(K15:K24)</f>
        <v>29540</v>
      </c>
      <c r="L25" s="5"/>
      <c r="M25" s="5">
        <f>SUM(M15:M24)</f>
        <v>68492</v>
      </c>
      <c r="N25" s="5"/>
      <c r="O25" s="5">
        <f>SUM(O15:O24)</f>
        <v>71179</v>
      </c>
      <c r="P25" s="5"/>
      <c r="Q25" s="5">
        <f>SUM(Q15:Q24)</f>
        <v>122759</v>
      </c>
      <c r="R25" s="5"/>
      <c r="S25" s="5">
        <f>SUM(S15:S24)</f>
        <v>94369</v>
      </c>
      <c r="T25" s="5"/>
      <c r="U25" s="5">
        <f>SUM(U15:U24)</f>
        <v>112781</v>
      </c>
      <c r="V25" s="5"/>
      <c r="W25" s="5">
        <f>SUM(W15:W24)</f>
        <v>52730</v>
      </c>
      <c r="X25" s="5"/>
      <c r="Y25" s="5">
        <f>SUM(Y15:Y24)</f>
        <v>58514</v>
      </c>
      <c r="Z25" s="5"/>
      <c r="AA25" s="5">
        <f>SUM(AA15:AA24)</f>
        <v>43605</v>
      </c>
      <c r="AB25" s="5"/>
      <c r="AC25" s="5">
        <f>SUM(AC15:AC24)</f>
        <v>60974</v>
      </c>
      <c r="AD25" s="5"/>
      <c r="AE25" s="5">
        <f>SUM(AE15:AE24)</f>
        <v>115966</v>
      </c>
      <c r="AF25" s="5"/>
      <c r="AG25" s="5">
        <f>SUM(AG15:AG24)</f>
        <v>128080</v>
      </c>
      <c r="AH25" s="5"/>
      <c r="AI25" s="5">
        <f>SUM(AI15:AI24)</f>
        <v>48910</v>
      </c>
      <c r="AJ25" s="5"/>
      <c r="AK25" s="5">
        <f>SUM(AK15:AK24)</f>
        <v>66946</v>
      </c>
      <c r="AL25" s="5"/>
      <c r="AM25" s="5">
        <f>SUM(AM15:AM24)</f>
        <v>134901</v>
      </c>
      <c r="AN25" s="5"/>
      <c r="AO25" s="5">
        <f>SUM(AO15:AO24)</f>
        <v>145056</v>
      </c>
      <c r="AP25" s="5"/>
      <c r="AQ25" s="5">
        <f>SUM(AQ15:AQ24)</f>
        <v>162682</v>
      </c>
      <c r="AR25" s="5"/>
      <c r="AS25" s="5">
        <f>SUM(AS15:AS24)</f>
        <v>138207</v>
      </c>
      <c r="AT25" s="5"/>
      <c r="AU25" s="5">
        <f>SUM(AU15:AU24)</f>
        <v>76691</v>
      </c>
      <c r="AV25" s="5"/>
      <c r="AW25" s="5">
        <f>SUM(AW15:AW24)</f>
        <v>60097</v>
      </c>
      <c r="AX25" s="5"/>
    </row>
    <row r="28" spans="1:50" x14ac:dyDescent="0.25">
      <c r="A28" t="s">
        <v>13</v>
      </c>
    </row>
    <row r="30" spans="1:50" x14ac:dyDescent="0.25">
      <c r="A30" s="3"/>
      <c r="B30" s="3"/>
      <c r="C30" s="7" t="s">
        <v>12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7" t="s">
        <v>14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9"/>
    </row>
    <row r="31" spans="1:50" x14ac:dyDescent="0.25">
      <c r="A31" s="3"/>
      <c r="B31" s="3"/>
      <c r="C31" s="7" t="s">
        <v>1</v>
      </c>
      <c r="D31" s="8"/>
      <c r="E31" s="8"/>
      <c r="F31" s="9"/>
      <c r="G31" s="7" t="s">
        <v>0</v>
      </c>
      <c r="H31" s="8"/>
      <c r="I31" s="8"/>
      <c r="J31" s="9"/>
      <c r="K31" s="7" t="s">
        <v>2</v>
      </c>
      <c r="L31" s="8"/>
      <c r="M31" s="8"/>
      <c r="N31" s="9"/>
      <c r="O31" s="7" t="s">
        <v>3</v>
      </c>
      <c r="P31" s="8"/>
      <c r="Q31" s="8"/>
      <c r="R31" s="9"/>
      <c r="S31" s="7" t="s">
        <v>4</v>
      </c>
      <c r="T31" s="8"/>
      <c r="U31" s="8"/>
      <c r="V31" s="9"/>
      <c r="W31" s="7" t="s">
        <v>5</v>
      </c>
      <c r="X31" s="8"/>
      <c r="Y31" s="8"/>
      <c r="Z31" s="9"/>
      <c r="AA31" s="7" t="s">
        <v>1</v>
      </c>
      <c r="AB31" s="8"/>
      <c r="AC31" s="8"/>
      <c r="AD31" s="9"/>
      <c r="AE31" s="7" t="s">
        <v>0</v>
      </c>
      <c r="AF31" s="8"/>
      <c r="AG31" s="8"/>
      <c r="AH31" s="9"/>
      <c r="AI31" s="7" t="s">
        <v>2</v>
      </c>
      <c r="AJ31" s="8"/>
      <c r="AK31" s="8"/>
      <c r="AL31" s="9"/>
      <c r="AM31" s="7" t="s">
        <v>3</v>
      </c>
      <c r="AN31" s="8"/>
      <c r="AO31" s="8"/>
      <c r="AP31" s="9"/>
      <c r="AQ31" s="7" t="s">
        <v>4</v>
      </c>
      <c r="AR31" s="8"/>
      <c r="AS31" s="8"/>
      <c r="AT31" s="9"/>
      <c r="AU31" s="7" t="s">
        <v>5</v>
      </c>
      <c r="AV31" s="8"/>
      <c r="AW31" s="8"/>
      <c r="AX31" s="9"/>
    </row>
    <row r="32" spans="1:50" x14ac:dyDescent="0.25">
      <c r="A32" s="3" t="s">
        <v>6</v>
      </c>
      <c r="B32" s="3" t="s">
        <v>20</v>
      </c>
      <c r="C32" s="3" t="s">
        <v>17</v>
      </c>
      <c r="D32" s="3" t="s">
        <v>19</v>
      </c>
      <c r="E32" s="3" t="s">
        <v>15</v>
      </c>
      <c r="F32" s="3" t="s">
        <v>19</v>
      </c>
      <c r="G32" s="3" t="s">
        <v>17</v>
      </c>
      <c r="H32" s="3" t="s">
        <v>19</v>
      </c>
      <c r="I32" s="3" t="s">
        <v>15</v>
      </c>
      <c r="J32" s="3" t="s">
        <v>19</v>
      </c>
      <c r="K32" s="3" t="s">
        <v>17</v>
      </c>
      <c r="L32" s="3" t="s">
        <v>19</v>
      </c>
      <c r="M32" s="3" t="s">
        <v>15</v>
      </c>
      <c r="N32" s="3" t="s">
        <v>19</v>
      </c>
      <c r="O32" s="3" t="s">
        <v>17</v>
      </c>
      <c r="P32" s="3" t="s">
        <v>19</v>
      </c>
      <c r="Q32" s="3" t="s">
        <v>15</v>
      </c>
      <c r="R32" s="3" t="s">
        <v>19</v>
      </c>
      <c r="S32" s="3" t="s">
        <v>17</v>
      </c>
      <c r="T32" s="3" t="s">
        <v>19</v>
      </c>
      <c r="U32" s="3" t="s">
        <v>15</v>
      </c>
      <c r="V32" s="3" t="s">
        <v>19</v>
      </c>
      <c r="W32" s="3" t="s">
        <v>17</v>
      </c>
      <c r="X32" s="3" t="s">
        <v>19</v>
      </c>
      <c r="Y32" s="3" t="s">
        <v>15</v>
      </c>
      <c r="Z32" s="3" t="s">
        <v>19</v>
      </c>
      <c r="AA32" s="3" t="s">
        <v>17</v>
      </c>
      <c r="AB32" s="3" t="s">
        <v>19</v>
      </c>
      <c r="AC32" s="3" t="s">
        <v>15</v>
      </c>
      <c r="AD32" s="3" t="s">
        <v>19</v>
      </c>
      <c r="AE32" s="3" t="s">
        <v>17</v>
      </c>
      <c r="AF32" s="3" t="s">
        <v>19</v>
      </c>
      <c r="AG32" s="3" t="s">
        <v>15</v>
      </c>
      <c r="AH32" s="3" t="s">
        <v>19</v>
      </c>
      <c r="AI32" s="3" t="s">
        <v>17</v>
      </c>
      <c r="AJ32" s="3" t="s">
        <v>19</v>
      </c>
      <c r="AK32" s="3" t="s">
        <v>15</v>
      </c>
      <c r="AL32" s="3" t="s">
        <v>19</v>
      </c>
      <c r="AM32" s="3" t="s">
        <v>17</v>
      </c>
      <c r="AN32" s="3" t="s">
        <v>19</v>
      </c>
      <c r="AO32" s="3" t="s">
        <v>15</v>
      </c>
      <c r="AP32" s="3" t="s">
        <v>19</v>
      </c>
      <c r="AQ32" s="3" t="s">
        <v>17</v>
      </c>
      <c r="AR32" s="3" t="s">
        <v>19</v>
      </c>
      <c r="AS32" s="3" t="s">
        <v>15</v>
      </c>
      <c r="AT32" s="3" t="s">
        <v>19</v>
      </c>
      <c r="AU32" s="3" t="s">
        <v>17</v>
      </c>
      <c r="AV32" s="3" t="s">
        <v>19</v>
      </c>
      <c r="AW32" s="3" t="s">
        <v>15</v>
      </c>
      <c r="AX32" s="3" t="s">
        <v>19</v>
      </c>
    </row>
    <row r="33" spans="1:50" x14ac:dyDescent="0.25">
      <c r="A33" s="6">
        <v>1</v>
      </c>
      <c r="B33" s="10">
        <v>653</v>
      </c>
      <c r="C33" s="6">
        <v>2777</v>
      </c>
      <c r="D33" s="6">
        <f>C33</f>
        <v>2777</v>
      </c>
      <c r="E33" s="6">
        <v>24277</v>
      </c>
      <c r="F33" s="6">
        <f>E33</f>
        <v>24277</v>
      </c>
      <c r="G33" s="6">
        <v>3277</v>
      </c>
      <c r="H33" s="6">
        <f>G33</f>
        <v>3277</v>
      </c>
      <c r="I33" s="6">
        <v>27856</v>
      </c>
      <c r="J33" s="6">
        <f>I33</f>
        <v>27856</v>
      </c>
      <c r="K33" s="6">
        <v>2974</v>
      </c>
      <c r="L33" s="6">
        <f>K33</f>
        <v>2974</v>
      </c>
      <c r="M33" s="6">
        <v>25749</v>
      </c>
      <c r="N33" s="6">
        <f>M33</f>
        <v>25749</v>
      </c>
      <c r="O33" s="6">
        <v>3562</v>
      </c>
      <c r="P33" s="6">
        <f>O33</f>
        <v>3562</v>
      </c>
      <c r="Q33" s="6">
        <v>29815</v>
      </c>
      <c r="R33" s="6">
        <f>Q33</f>
        <v>29815</v>
      </c>
      <c r="S33" s="6">
        <v>1096</v>
      </c>
      <c r="T33" s="6">
        <f>S33</f>
        <v>1096</v>
      </c>
      <c r="U33" s="6">
        <v>7169</v>
      </c>
      <c r="V33" s="6">
        <f>U33</f>
        <v>7169</v>
      </c>
      <c r="W33" s="6">
        <v>508</v>
      </c>
      <c r="X33" s="6">
        <f>W33</f>
        <v>508</v>
      </c>
      <c r="Y33" s="6">
        <v>3103</v>
      </c>
      <c r="Z33" s="6">
        <f>Y33</f>
        <v>3103</v>
      </c>
      <c r="AA33" s="6">
        <v>2966</v>
      </c>
      <c r="AB33" s="6">
        <f>AA33</f>
        <v>2966</v>
      </c>
      <c r="AC33" s="6">
        <v>19262</v>
      </c>
      <c r="AD33" s="6">
        <f>AC33</f>
        <v>19262</v>
      </c>
      <c r="AE33" s="6">
        <v>4046</v>
      </c>
      <c r="AF33" s="6">
        <f>AE33</f>
        <v>4046</v>
      </c>
      <c r="AG33" s="6">
        <v>25464</v>
      </c>
      <c r="AH33" s="6">
        <f>AG33</f>
        <v>25464</v>
      </c>
      <c r="AI33" s="6">
        <v>3123</v>
      </c>
      <c r="AJ33" s="6">
        <f>AI33</f>
        <v>3123</v>
      </c>
      <c r="AK33" s="6">
        <v>20513</v>
      </c>
      <c r="AL33" s="6">
        <f>AK33</f>
        <v>20513</v>
      </c>
      <c r="AM33" s="6">
        <v>4296</v>
      </c>
      <c r="AN33" s="6">
        <f>AM33</f>
        <v>4296</v>
      </c>
      <c r="AO33" s="6">
        <v>27641</v>
      </c>
      <c r="AP33" s="6">
        <f>AO33</f>
        <v>27641</v>
      </c>
      <c r="AQ33" s="6">
        <v>1703</v>
      </c>
      <c r="AR33" s="6">
        <f>AQ33</f>
        <v>1703</v>
      </c>
      <c r="AS33" s="6">
        <v>10577</v>
      </c>
      <c r="AT33" s="6">
        <f>AS33</f>
        <v>10577</v>
      </c>
      <c r="AU33" s="6">
        <v>530</v>
      </c>
      <c r="AV33" s="6">
        <f>AU33</f>
        <v>530</v>
      </c>
      <c r="AW33" s="6">
        <v>3449</v>
      </c>
      <c r="AX33" s="6">
        <f>AW33</f>
        <v>3449</v>
      </c>
    </row>
    <row r="34" spans="1:50" x14ac:dyDescent="0.25">
      <c r="A34" s="4">
        <v>2</v>
      </c>
      <c r="B34" s="11">
        <v>446</v>
      </c>
      <c r="C34" s="4">
        <v>2235</v>
      </c>
      <c r="D34" s="4">
        <f>C34+D33</f>
        <v>5012</v>
      </c>
      <c r="E34" s="4">
        <v>5782</v>
      </c>
      <c r="F34" s="4">
        <f>E34+F33</f>
        <v>30059</v>
      </c>
      <c r="G34" s="4">
        <v>3236</v>
      </c>
      <c r="H34" s="4">
        <f>G34+H33</f>
        <v>6513</v>
      </c>
      <c r="I34" s="4">
        <v>8868</v>
      </c>
      <c r="J34" s="4">
        <f>I34+J33</f>
        <v>36724</v>
      </c>
      <c r="K34" s="4">
        <v>2427</v>
      </c>
      <c r="L34" s="4">
        <f>K34+L33</f>
        <v>5401</v>
      </c>
      <c r="M34" s="4">
        <v>6307</v>
      </c>
      <c r="N34" s="4">
        <f>M34+N33</f>
        <v>32056</v>
      </c>
      <c r="O34" s="4">
        <v>3596</v>
      </c>
      <c r="P34" s="4">
        <f>O34+P33</f>
        <v>7158</v>
      </c>
      <c r="Q34" s="4">
        <v>9779</v>
      </c>
      <c r="R34" s="4">
        <f>Q34+R33</f>
        <v>39594</v>
      </c>
      <c r="S34" s="4">
        <v>2577</v>
      </c>
      <c r="T34" s="4">
        <f>S34+T33</f>
        <v>3673</v>
      </c>
      <c r="U34" s="4">
        <v>8196</v>
      </c>
      <c r="V34" s="4">
        <f>U34+V33</f>
        <v>15365</v>
      </c>
      <c r="W34" s="4">
        <v>1408</v>
      </c>
      <c r="X34" s="4">
        <f>W34+X33</f>
        <v>1916</v>
      </c>
      <c r="Y34" s="4">
        <v>4724</v>
      </c>
      <c r="Z34" s="4">
        <f>Y34+Z33</f>
        <v>7827</v>
      </c>
      <c r="AA34" s="4">
        <v>2947</v>
      </c>
      <c r="AB34" s="4">
        <f>AA34+AB33</f>
        <v>5913</v>
      </c>
      <c r="AC34" s="4">
        <v>7932</v>
      </c>
      <c r="AD34" s="4">
        <f>AC34+AD33</f>
        <v>27194</v>
      </c>
      <c r="AE34" s="4">
        <v>5286</v>
      </c>
      <c r="AF34" s="4">
        <f>AE34+AF33</f>
        <v>9332</v>
      </c>
      <c r="AG34" s="4">
        <v>15203</v>
      </c>
      <c r="AH34" s="4">
        <f>AG34+AH33</f>
        <v>40667</v>
      </c>
      <c r="AI34" s="4">
        <v>3162</v>
      </c>
      <c r="AJ34" s="4">
        <f>AI34+AJ33</f>
        <v>6285</v>
      </c>
      <c r="AK34" s="4">
        <v>8674</v>
      </c>
      <c r="AL34" s="4">
        <f>AK34+AL33</f>
        <v>29187</v>
      </c>
      <c r="AM34" s="4">
        <v>5735</v>
      </c>
      <c r="AN34" s="4">
        <f>AM34+AN33</f>
        <v>10031</v>
      </c>
      <c r="AO34" s="4">
        <v>16967</v>
      </c>
      <c r="AP34" s="4">
        <f>AO34+AP33</f>
        <v>44608</v>
      </c>
      <c r="AQ34" s="4">
        <v>4230</v>
      </c>
      <c r="AR34" s="4">
        <f>AQ34+AR33</f>
        <v>5933</v>
      </c>
      <c r="AS34" s="4">
        <v>13605</v>
      </c>
      <c r="AT34" s="4">
        <f>AS34+AT33</f>
        <v>24182</v>
      </c>
      <c r="AU34" s="4">
        <v>1657</v>
      </c>
      <c r="AV34" s="4">
        <f>AU34+AV33</f>
        <v>2187</v>
      </c>
      <c r="AW34" s="4">
        <v>5312</v>
      </c>
      <c r="AX34" s="4">
        <f>AW34+AX33</f>
        <v>8761</v>
      </c>
    </row>
    <row r="35" spans="1:50" x14ac:dyDescent="0.25">
      <c r="A35" s="6">
        <v>3</v>
      </c>
      <c r="B35" s="11">
        <v>315</v>
      </c>
      <c r="C35" s="6">
        <v>2056</v>
      </c>
      <c r="D35" s="6">
        <f t="shared" ref="D35:D42" si="24">C35+D34</f>
        <v>7068</v>
      </c>
      <c r="E35" s="6">
        <v>3827</v>
      </c>
      <c r="F35" s="6">
        <f t="shared" ref="F35:F42" si="25">E35+F34</f>
        <v>33886</v>
      </c>
      <c r="G35" s="6">
        <v>3623</v>
      </c>
      <c r="H35" s="6">
        <f t="shared" ref="H35:H42" si="26">G35+H34</f>
        <v>10136</v>
      </c>
      <c r="I35" s="6">
        <v>7787</v>
      </c>
      <c r="J35" s="6">
        <f t="shared" ref="J35:J42" si="27">I35+J34</f>
        <v>44511</v>
      </c>
      <c r="K35" s="6">
        <v>2270</v>
      </c>
      <c r="L35" s="6">
        <f t="shared" ref="L35:L42" si="28">K35+L34</f>
        <v>7671</v>
      </c>
      <c r="M35" s="6">
        <v>4192</v>
      </c>
      <c r="N35" s="6">
        <f t="shared" ref="N35:N42" si="29">M35+N34</f>
        <v>36248</v>
      </c>
      <c r="O35" s="6">
        <v>4068</v>
      </c>
      <c r="P35" s="6">
        <f t="shared" ref="P35:P42" si="30">O35+P34</f>
        <v>11226</v>
      </c>
      <c r="Q35" s="6">
        <v>8645</v>
      </c>
      <c r="R35" s="6">
        <f t="shared" ref="R35:R42" si="31">Q35+R34</f>
        <v>48239</v>
      </c>
      <c r="S35" s="6">
        <v>4233</v>
      </c>
      <c r="T35" s="6">
        <f t="shared" ref="T35:T42" si="32">S35+T34</f>
        <v>7906</v>
      </c>
      <c r="U35" s="6">
        <v>10704</v>
      </c>
      <c r="V35" s="6">
        <f t="shared" ref="V35:V42" si="33">U35+V34</f>
        <v>26069</v>
      </c>
      <c r="W35" s="6">
        <v>2435</v>
      </c>
      <c r="X35" s="6">
        <f t="shared" ref="X35:X42" si="34">W35+X34</f>
        <v>4351</v>
      </c>
      <c r="Y35" s="6">
        <v>6251</v>
      </c>
      <c r="Z35" s="6">
        <f t="shared" ref="Z35:Z42" si="35">Y35+Z34</f>
        <v>14078</v>
      </c>
      <c r="AA35" s="6">
        <v>1854</v>
      </c>
      <c r="AB35" s="6">
        <f t="shared" ref="AB35:AB42" si="36">AA35+AB34</f>
        <v>7767</v>
      </c>
      <c r="AC35" s="6">
        <v>4597</v>
      </c>
      <c r="AD35" s="6">
        <f t="shared" ref="AD35:AD42" si="37">AC35+AD34</f>
        <v>31791</v>
      </c>
      <c r="AE35" s="6">
        <v>4393</v>
      </c>
      <c r="AF35" s="6">
        <f t="shared" ref="AF35:AF42" si="38">AE35+AF34</f>
        <v>13725</v>
      </c>
      <c r="AG35" s="6">
        <v>12000</v>
      </c>
      <c r="AH35" s="6">
        <f t="shared" ref="AH35:AH42" si="39">AG35+AH34</f>
        <v>52667</v>
      </c>
      <c r="AI35" s="6">
        <v>2026</v>
      </c>
      <c r="AJ35" s="6">
        <f t="shared" ref="AJ35:AJ42" si="40">AI35+AJ34</f>
        <v>8311</v>
      </c>
      <c r="AK35" s="6">
        <v>5094</v>
      </c>
      <c r="AL35" s="6">
        <f t="shared" ref="AL35:AL42" si="41">AK35+AL34</f>
        <v>34281</v>
      </c>
      <c r="AM35" s="6">
        <v>4829</v>
      </c>
      <c r="AN35" s="6">
        <f t="shared" ref="AN35:AN42" si="42">AM35+AN34</f>
        <v>14860</v>
      </c>
      <c r="AO35" s="6">
        <v>13491</v>
      </c>
      <c r="AP35" s="6">
        <f t="shared" ref="AP35:AP42" si="43">AO35+AP34</f>
        <v>58099</v>
      </c>
      <c r="AQ35" s="6">
        <v>6051</v>
      </c>
      <c r="AR35" s="6">
        <f t="shared" ref="AR35:AR42" si="44">AQ35+AR34</f>
        <v>11984</v>
      </c>
      <c r="AS35" s="6">
        <v>15038</v>
      </c>
      <c r="AT35" s="6">
        <f t="shared" ref="AT35:AT42" si="45">AS35+AT34</f>
        <v>39220</v>
      </c>
      <c r="AU35" s="6">
        <v>3248</v>
      </c>
      <c r="AV35" s="6">
        <f t="shared" ref="AV35:AV42" si="46">AU35+AV34</f>
        <v>5435</v>
      </c>
      <c r="AW35" s="6">
        <v>6641</v>
      </c>
      <c r="AX35" s="6">
        <f t="shared" ref="AX35:AX42" si="47">AW35+AX34</f>
        <v>15402</v>
      </c>
    </row>
    <row r="36" spans="1:50" x14ac:dyDescent="0.25">
      <c r="A36" s="4">
        <v>4</v>
      </c>
      <c r="B36" s="11">
        <v>189</v>
      </c>
      <c r="C36" s="4">
        <v>1721</v>
      </c>
      <c r="D36" s="4">
        <f t="shared" si="24"/>
        <v>8789</v>
      </c>
      <c r="E36" s="4">
        <v>2623</v>
      </c>
      <c r="F36" s="4">
        <f t="shared" si="25"/>
        <v>36509</v>
      </c>
      <c r="G36" s="4">
        <v>3593</v>
      </c>
      <c r="H36" s="4">
        <f t="shared" si="26"/>
        <v>13729</v>
      </c>
      <c r="I36" s="4">
        <v>6462</v>
      </c>
      <c r="J36" s="4">
        <f t="shared" si="27"/>
        <v>50973</v>
      </c>
      <c r="K36" s="4">
        <v>1931</v>
      </c>
      <c r="L36" s="4">
        <f t="shared" si="28"/>
        <v>9602</v>
      </c>
      <c r="M36" s="4">
        <v>2851</v>
      </c>
      <c r="N36" s="4">
        <f t="shared" si="29"/>
        <v>39099</v>
      </c>
      <c r="O36" s="4">
        <v>4129</v>
      </c>
      <c r="P36" s="4">
        <f t="shared" si="30"/>
        <v>15355</v>
      </c>
      <c r="Q36" s="4">
        <v>7152</v>
      </c>
      <c r="R36" s="4">
        <f t="shared" si="31"/>
        <v>55391</v>
      </c>
      <c r="S36" s="4">
        <v>5899</v>
      </c>
      <c r="T36" s="4">
        <f t="shared" si="32"/>
        <v>13805</v>
      </c>
      <c r="U36" s="4">
        <v>11429</v>
      </c>
      <c r="V36" s="4">
        <f t="shared" si="33"/>
        <v>37498</v>
      </c>
      <c r="W36" s="4">
        <v>3701</v>
      </c>
      <c r="X36" s="4">
        <f t="shared" si="34"/>
        <v>8052</v>
      </c>
      <c r="Y36" s="4">
        <v>7128</v>
      </c>
      <c r="Z36" s="4">
        <f t="shared" si="35"/>
        <v>21206</v>
      </c>
      <c r="AA36" s="4">
        <v>1228</v>
      </c>
      <c r="AB36" s="4">
        <f t="shared" si="36"/>
        <v>8995</v>
      </c>
      <c r="AC36" s="4">
        <v>3381</v>
      </c>
      <c r="AD36" s="4">
        <f t="shared" si="37"/>
        <v>35172</v>
      </c>
      <c r="AE36" s="4">
        <v>4032</v>
      </c>
      <c r="AF36" s="4">
        <f t="shared" si="38"/>
        <v>17757</v>
      </c>
      <c r="AG36" s="4">
        <v>10050</v>
      </c>
      <c r="AH36" s="4">
        <f t="shared" si="39"/>
        <v>62717</v>
      </c>
      <c r="AI36" s="4">
        <v>1347</v>
      </c>
      <c r="AJ36" s="4">
        <f t="shared" si="40"/>
        <v>9658</v>
      </c>
      <c r="AK36" s="4">
        <v>3821</v>
      </c>
      <c r="AL36" s="4">
        <f t="shared" si="41"/>
        <v>38102</v>
      </c>
      <c r="AM36" s="4">
        <v>4517</v>
      </c>
      <c r="AN36" s="4">
        <f t="shared" si="42"/>
        <v>19377</v>
      </c>
      <c r="AO36" s="4">
        <v>11519</v>
      </c>
      <c r="AP36" s="4">
        <f t="shared" si="43"/>
        <v>69618</v>
      </c>
      <c r="AQ36" s="4">
        <v>7996</v>
      </c>
      <c r="AR36" s="4">
        <f t="shared" si="44"/>
        <v>19980</v>
      </c>
      <c r="AS36" s="4">
        <v>15241</v>
      </c>
      <c r="AT36" s="4">
        <f t="shared" si="45"/>
        <v>54461</v>
      </c>
      <c r="AU36" s="4">
        <v>4826</v>
      </c>
      <c r="AV36" s="4">
        <f t="shared" si="46"/>
        <v>10261</v>
      </c>
      <c r="AW36" s="4">
        <v>7543</v>
      </c>
      <c r="AX36" s="4">
        <f t="shared" si="47"/>
        <v>22945</v>
      </c>
    </row>
    <row r="37" spans="1:50" x14ac:dyDescent="0.25">
      <c r="A37" s="6">
        <v>5</v>
      </c>
      <c r="B37" s="11">
        <v>121</v>
      </c>
      <c r="C37" s="6">
        <v>1214</v>
      </c>
      <c r="D37" s="6">
        <f t="shared" si="24"/>
        <v>10003</v>
      </c>
      <c r="E37" s="6">
        <v>2480</v>
      </c>
      <c r="F37" s="6">
        <f t="shared" si="25"/>
        <v>38989</v>
      </c>
      <c r="G37" s="6">
        <v>3033</v>
      </c>
      <c r="H37" s="6">
        <f t="shared" si="26"/>
        <v>16762</v>
      </c>
      <c r="I37" s="6">
        <v>6670</v>
      </c>
      <c r="J37" s="6">
        <f t="shared" si="27"/>
        <v>57643</v>
      </c>
      <c r="K37" s="6">
        <v>1385</v>
      </c>
      <c r="L37" s="6">
        <f t="shared" si="28"/>
        <v>10987</v>
      </c>
      <c r="M37" s="6">
        <v>2761</v>
      </c>
      <c r="N37" s="6">
        <f t="shared" si="29"/>
        <v>41860</v>
      </c>
      <c r="O37" s="6">
        <v>3548</v>
      </c>
      <c r="P37" s="6">
        <f t="shared" si="30"/>
        <v>18903</v>
      </c>
      <c r="Q37" s="6">
        <v>7593</v>
      </c>
      <c r="R37" s="6">
        <f t="shared" si="31"/>
        <v>62984</v>
      </c>
      <c r="S37" s="6">
        <v>7044</v>
      </c>
      <c r="T37" s="6">
        <f t="shared" si="32"/>
        <v>20849</v>
      </c>
      <c r="U37" s="6">
        <v>12466</v>
      </c>
      <c r="V37" s="6">
        <f t="shared" si="33"/>
        <v>49964</v>
      </c>
      <c r="W37" s="6">
        <v>4881</v>
      </c>
      <c r="X37" s="6">
        <f t="shared" si="34"/>
        <v>12933</v>
      </c>
      <c r="Y37" s="6">
        <v>7634</v>
      </c>
      <c r="Z37" s="6">
        <f t="shared" si="35"/>
        <v>28840</v>
      </c>
      <c r="AA37" s="6">
        <v>1582</v>
      </c>
      <c r="AB37" s="6">
        <f t="shared" si="36"/>
        <v>10577</v>
      </c>
      <c r="AC37" s="6">
        <v>1512</v>
      </c>
      <c r="AD37" s="6">
        <f t="shared" si="37"/>
        <v>36684</v>
      </c>
      <c r="AE37" s="6">
        <v>5676</v>
      </c>
      <c r="AF37" s="6">
        <f t="shared" si="38"/>
        <v>23433</v>
      </c>
      <c r="AG37" s="6">
        <v>5601</v>
      </c>
      <c r="AH37" s="6">
        <f t="shared" si="39"/>
        <v>68318</v>
      </c>
      <c r="AI37" s="6">
        <v>1763</v>
      </c>
      <c r="AJ37" s="6">
        <f t="shared" si="40"/>
        <v>11421</v>
      </c>
      <c r="AK37" s="6">
        <v>1694</v>
      </c>
      <c r="AL37" s="6">
        <f t="shared" si="41"/>
        <v>39796</v>
      </c>
      <c r="AM37" s="6">
        <v>6441</v>
      </c>
      <c r="AN37" s="6">
        <f t="shared" si="42"/>
        <v>25818</v>
      </c>
      <c r="AO37" s="6">
        <v>6333</v>
      </c>
      <c r="AP37" s="6">
        <f t="shared" si="43"/>
        <v>75951</v>
      </c>
      <c r="AQ37" s="6">
        <v>11203</v>
      </c>
      <c r="AR37" s="6">
        <f t="shared" si="44"/>
        <v>31183</v>
      </c>
      <c r="AS37" s="6">
        <v>12013</v>
      </c>
      <c r="AT37" s="6">
        <f t="shared" si="45"/>
        <v>66474</v>
      </c>
      <c r="AU37" s="6">
        <v>6525</v>
      </c>
      <c r="AV37" s="6">
        <f t="shared" si="46"/>
        <v>16786</v>
      </c>
      <c r="AW37" s="6">
        <v>7374</v>
      </c>
      <c r="AX37" s="6">
        <f t="shared" si="47"/>
        <v>30319</v>
      </c>
    </row>
    <row r="38" spans="1:50" x14ac:dyDescent="0.25">
      <c r="A38" s="4">
        <v>6</v>
      </c>
      <c r="B38" s="11">
        <v>95</v>
      </c>
      <c r="C38" s="4">
        <v>2405</v>
      </c>
      <c r="D38" s="4">
        <f t="shared" si="24"/>
        <v>12408</v>
      </c>
      <c r="E38" s="4">
        <v>2142</v>
      </c>
      <c r="F38" s="4">
        <f t="shared" si="25"/>
        <v>41131</v>
      </c>
      <c r="G38" s="4">
        <v>6429</v>
      </c>
      <c r="H38" s="4">
        <f t="shared" si="26"/>
        <v>23191</v>
      </c>
      <c r="I38" s="4">
        <v>6377</v>
      </c>
      <c r="J38" s="4">
        <f t="shared" si="27"/>
        <v>64020</v>
      </c>
      <c r="K38" s="4">
        <v>2699</v>
      </c>
      <c r="L38" s="4">
        <f t="shared" si="28"/>
        <v>13686</v>
      </c>
      <c r="M38" s="4">
        <v>2420</v>
      </c>
      <c r="N38" s="4">
        <f t="shared" si="29"/>
        <v>44280</v>
      </c>
      <c r="O38" s="4">
        <v>7562</v>
      </c>
      <c r="P38" s="4">
        <f t="shared" si="30"/>
        <v>26465</v>
      </c>
      <c r="Q38" s="4">
        <v>7325</v>
      </c>
      <c r="R38" s="4">
        <f t="shared" si="31"/>
        <v>70309</v>
      </c>
      <c r="S38" s="4">
        <v>11645</v>
      </c>
      <c r="T38" s="4">
        <f t="shared" si="32"/>
        <v>32494</v>
      </c>
      <c r="U38" s="4">
        <v>12316</v>
      </c>
      <c r="V38" s="4">
        <f t="shared" si="33"/>
        <v>62280</v>
      </c>
      <c r="W38" s="4">
        <v>6782</v>
      </c>
      <c r="X38" s="4">
        <f t="shared" si="34"/>
        <v>19715</v>
      </c>
      <c r="Y38" s="4">
        <v>7411</v>
      </c>
      <c r="Z38" s="4">
        <f t="shared" si="35"/>
        <v>36251</v>
      </c>
      <c r="AA38" s="4">
        <v>2394</v>
      </c>
      <c r="AB38" s="4">
        <f t="shared" si="36"/>
        <v>12971</v>
      </c>
      <c r="AC38" s="4">
        <v>1420</v>
      </c>
      <c r="AD38" s="4">
        <f t="shared" si="37"/>
        <v>38104</v>
      </c>
      <c r="AE38" s="4">
        <v>8639</v>
      </c>
      <c r="AF38" s="4">
        <f t="shared" si="38"/>
        <v>32072</v>
      </c>
      <c r="AG38" s="4">
        <v>5555</v>
      </c>
      <c r="AH38" s="4">
        <f t="shared" si="39"/>
        <v>73873</v>
      </c>
      <c r="AI38" s="4">
        <v>2724</v>
      </c>
      <c r="AJ38" s="4">
        <f t="shared" si="40"/>
        <v>14145</v>
      </c>
      <c r="AK38" s="4">
        <v>1588</v>
      </c>
      <c r="AL38" s="4">
        <f t="shared" si="41"/>
        <v>41384</v>
      </c>
      <c r="AM38" s="4">
        <v>10189</v>
      </c>
      <c r="AN38" s="4">
        <f t="shared" si="42"/>
        <v>36007</v>
      </c>
      <c r="AO38" s="4">
        <v>6213</v>
      </c>
      <c r="AP38" s="4">
        <f t="shared" si="43"/>
        <v>82164</v>
      </c>
      <c r="AQ38" s="4">
        <v>16918</v>
      </c>
      <c r="AR38" s="4">
        <f t="shared" si="44"/>
        <v>48101</v>
      </c>
      <c r="AS38" s="4">
        <v>11794</v>
      </c>
      <c r="AT38" s="4">
        <f t="shared" si="45"/>
        <v>78268</v>
      </c>
      <c r="AU38" s="4">
        <v>9453</v>
      </c>
      <c r="AV38" s="4">
        <f t="shared" si="46"/>
        <v>26239</v>
      </c>
      <c r="AW38" s="4">
        <v>7169</v>
      </c>
      <c r="AX38" s="4">
        <f t="shared" si="47"/>
        <v>37488</v>
      </c>
    </row>
    <row r="39" spans="1:50" x14ac:dyDescent="0.25">
      <c r="A39" s="6">
        <v>7</v>
      </c>
      <c r="B39" s="11">
        <v>67</v>
      </c>
      <c r="C39" s="6">
        <v>2323</v>
      </c>
      <c r="D39" s="6">
        <f t="shared" si="24"/>
        <v>14731</v>
      </c>
      <c r="E39" s="6">
        <v>2104</v>
      </c>
      <c r="F39" s="6">
        <f t="shared" si="25"/>
        <v>43235</v>
      </c>
      <c r="G39" s="6">
        <v>7446</v>
      </c>
      <c r="H39" s="6">
        <f t="shared" si="26"/>
        <v>30637</v>
      </c>
      <c r="I39" s="6">
        <v>6844</v>
      </c>
      <c r="J39" s="6">
        <f t="shared" si="27"/>
        <v>70864</v>
      </c>
      <c r="K39" s="6">
        <v>2642</v>
      </c>
      <c r="L39" s="6">
        <f t="shared" si="28"/>
        <v>16328</v>
      </c>
      <c r="M39" s="6">
        <v>2343</v>
      </c>
      <c r="N39" s="6">
        <f t="shared" si="29"/>
        <v>46623</v>
      </c>
      <c r="O39" s="6">
        <v>8815</v>
      </c>
      <c r="P39" s="6">
        <f t="shared" si="30"/>
        <v>35280</v>
      </c>
      <c r="Q39" s="6">
        <v>7763</v>
      </c>
      <c r="R39" s="6">
        <f t="shared" si="31"/>
        <v>78072</v>
      </c>
      <c r="S39" s="6">
        <v>14569</v>
      </c>
      <c r="T39" s="6">
        <f t="shared" si="32"/>
        <v>47063</v>
      </c>
      <c r="U39" s="6">
        <v>12701</v>
      </c>
      <c r="V39" s="6">
        <f t="shared" si="33"/>
        <v>74981</v>
      </c>
      <c r="W39" s="6">
        <v>8396</v>
      </c>
      <c r="X39" s="6">
        <f t="shared" si="34"/>
        <v>28111</v>
      </c>
      <c r="Y39" s="6">
        <v>7281</v>
      </c>
      <c r="Z39" s="6">
        <f t="shared" si="35"/>
        <v>43532</v>
      </c>
      <c r="AA39" s="6">
        <v>3080</v>
      </c>
      <c r="AB39" s="6">
        <f t="shared" si="36"/>
        <v>16051</v>
      </c>
      <c r="AC39" s="6">
        <v>2860</v>
      </c>
      <c r="AD39" s="6">
        <f t="shared" si="37"/>
        <v>40964</v>
      </c>
      <c r="AE39" s="6">
        <v>11567</v>
      </c>
      <c r="AF39" s="6">
        <f t="shared" si="38"/>
        <v>43639</v>
      </c>
      <c r="AG39" s="6">
        <v>9143</v>
      </c>
      <c r="AH39" s="6">
        <f t="shared" si="39"/>
        <v>83016</v>
      </c>
      <c r="AI39" s="6">
        <v>3530</v>
      </c>
      <c r="AJ39" s="6">
        <f t="shared" si="40"/>
        <v>17675</v>
      </c>
      <c r="AK39" s="6">
        <v>3202</v>
      </c>
      <c r="AL39" s="6">
        <f t="shared" si="41"/>
        <v>44586</v>
      </c>
      <c r="AM39" s="6">
        <v>13625</v>
      </c>
      <c r="AN39" s="6">
        <f t="shared" si="42"/>
        <v>49632</v>
      </c>
      <c r="AO39" s="6">
        <v>10537</v>
      </c>
      <c r="AP39" s="6">
        <f t="shared" si="43"/>
        <v>92701</v>
      </c>
      <c r="AQ39" s="6">
        <v>21843</v>
      </c>
      <c r="AR39" s="6">
        <f t="shared" si="44"/>
        <v>69944</v>
      </c>
      <c r="AS39" s="6">
        <v>14630</v>
      </c>
      <c r="AT39" s="6">
        <f t="shared" si="45"/>
        <v>92898</v>
      </c>
      <c r="AU39" s="6">
        <v>11748</v>
      </c>
      <c r="AV39" s="6">
        <f t="shared" si="46"/>
        <v>37987</v>
      </c>
      <c r="AW39" s="6">
        <v>7295</v>
      </c>
      <c r="AX39" s="6">
        <f t="shared" si="47"/>
        <v>44783</v>
      </c>
    </row>
    <row r="40" spans="1:50" x14ac:dyDescent="0.25">
      <c r="A40" s="4">
        <v>8</v>
      </c>
      <c r="B40" s="11">
        <v>38</v>
      </c>
      <c r="C40" s="4">
        <v>1954</v>
      </c>
      <c r="D40" s="4">
        <f t="shared" si="24"/>
        <v>16685</v>
      </c>
      <c r="E40" s="4">
        <v>1708</v>
      </c>
      <c r="F40" s="4">
        <f t="shared" si="25"/>
        <v>44943</v>
      </c>
      <c r="G40" s="4">
        <v>6609</v>
      </c>
      <c r="H40" s="4">
        <f t="shared" si="26"/>
        <v>37246</v>
      </c>
      <c r="I40" s="4">
        <v>5768</v>
      </c>
      <c r="J40" s="4">
        <f t="shared" si="27"/>
        <v>76632</v>
      </c>
      <c r="K40" s="4">
        <v>2229</v>
      </c>
      <c r="L40" s="4">
        <f t="shared" si="28"/>
        <v>18557</v>
      </c>
      <c r="M40" s="4">
        <v>1886</v>
      </c>
      <c r="N40" s="4">
        <f t="shared" si="29"/>
        <v>48509</v>
      </c>
      <c r="O40" s="4">
        <v>7854</v>
      </c>
      <c r="P40" s="4">
        <f t="shared" si="30"/>
        <v>43134</v>
      </c>
      <c r="Q40" s="4">
        <v>6545</v>
      </c>
      <c r="R40" s="4">
        <f t="shared" si="31"/>
        <v>84617</v>
      </c>
      <c r="S40" s="4">
        <v>14109</v>
      </c>
      <c r="T40" s="4">
        <f t="shared" si="32"/>
        <v>61172</v>
      </c>
      <c r="U40" s="4">
        <v>10820</v>
      </c>
      <c r="V40" s="4">
        <f t="shared" si="33"/>
        <v>85801</v>
      </c>
      <c r="W40" s="4">
        <v>8484</v>
      </c>
      <c r="X40" s="4">
        <f t="shared" si="34"/>
        <v>36595</v>
      </c>
      <c r="Y40" s="4">
        <v>6161</v>
      </c>
      <c r="Z40" s="4">
        <f t="shared" si="35"/>
        <v>49693</v>
      </c>
      <c r="AA40" s="4">
        <v>4844</v>
      </c>
      <c r="AB40" s="4">
        <f t="shared" si="36"/>
        <v>20895</v>
      </c>
      <c r="AC40" s="4">
        <v>3418</v>
      </c>
      <c r="AD40" s="4">
        <f t="shared" si="37"/>
        <v>44382</v>
      </c>
      <c r="AE40" s="4">
        <v>13716</v>
      </c>
      <c r="AF40" s="4">
        <f t="shared" si="38"/>
        <v>57355</v>
      </c>
      <c r="AG40" s="4">
        <v>8810</v>
      </c>
      <c r="AH40" s="4">
        <f t="shared" si="39"/>
        <v>91826</v>
      </c>
      <c r="AI40" s="4">
        <v>5498</v>
      </c>
      <c r="AJ40" s="4">
        <f t="shared" si="40"/>
        <v>23173</v>
      </c>
      <c r="AK40" s="4">
        <v>3812</v>
      </c>
      <c r="AL40" s="4">
        <f t="shared" si="41"/>
        <v>48398</v>
      </c>
      <c r="AM40" s="4">
        <v>16220</v>
      </c>
      <c r="AN40" s="4">
        <f t="shared" si="42"/>
        <v>65852</v>
      </c>
      <c r="AO40" s="4">
        <v>10245</v>
      </c>
      <c r="AP40" s="4">
        <f t="shared" si="43"/>
        <v>102946</v>
      </c>
      <c r="AQ40" s="4">
        <v>23463</v>
      </c>
      <c r="AR40" s="4">
        <f t="shared" si="44"/>
        <v>93407</v>
      </c>
      <c r="AS40" s="4">
        <v>12761</v>
      </c>
      <c r="AT40" s="4">
        <f t="shared" si="45"/>
        <v>105659</v>
      </c>
      <c r="AU40" s="4">
        <v>12741</v>
      </c>
      <c r="AV40" s="4">
        <f t="shared" si="46"/>
        <v>50728</v>
      </c>
      <c r="AW40" s="4">
        <v>6328</v>
      </c>
      <c r="AX40" s="4">
        <f t="shared" si="47"/>
        <v>51111</v>
      </c>
    </row>
    <row r="41" spans="1:50" x14ac:dyDescent="0.25">
      <c r="A41" s="6">
        <v>9</v>
      </c>
      <c r="B41" s="11">
        <v>14</v>
      </c>
      <c r="C41" s="6">
        <v>1239</v>
      </c>
      <c r="D41" s="6">
        <f t="shared" si="24"/>
        <v>17924</v>
      </c>
      <c r="E41" s="6">
        <v>982</v>
      </c>
      <c r="F41" s="6">
        <f t="shared" si="25"/>
        <v>45925</v>
      </c>
      <c r="G41" s="6">
        <v>5647</v>
      </c>
      <c r="H41" s="6">
        <f t="shared" si="26"/>
        <v>42893</v>
      </c>
      <c r="I41" s="6">
        <v>4405</v>
      </c>
      <c r="J41" s="6">
        <f t="shared" si="27"/>
        <v>81037</v>
      </c>
      <c r="K41" s="6">
        <v>1383</v>
      </c>
      <c r="L41" s="6">
        <f t="shared" si="28"/>
        <v>19940</v>
      </c>
      <c r="M41" s="6">
        <v>1105</v>
      </c>
      <c r="N41" s="6">
        <f t="shared" si="29"/>
        <v>49614</v>
      </c>
      <c r="O41" s="6">
        <v>6565</v>
      </c>
      <c r="P41" s="6">
        <f t="shared" si="30"/>
        <v>49699</v>
      </c>
      <c r="Q41" s="6">
        <v>4967</v>
      </c>
      <c r="R41" s="6">
        <f t="shared" si="31"/>
        <v>89584</v>
      </c>
      <c r="S41" s="6">
        <v>13973</v>
      </c>
      <c r="T41" s="6">
        <f t="shared" si="32"/>
        <v>75145</v>
      </c>
      <c r="U41" s="6">
        <v>8982</v>
      </c>
      <c r="V41" s="6">
        <f t="shared" si="33"/>
        <v>94783</v>
      </c>
      <c r="W41" s="6">
        <v>8791</v>
      </c>
      <c r="X41" s="6">
        <f t="shared" si="34"/>
        <v>45386</v>
      </c>
      <c r="Y41" s="6">
        <v>5120</v>
      </c>
      <c r="Z41" s="6">
        <f t="shared" si="35"/>
        <v>54813</v>
      </c>
      <c r="AA41" s="6">
        <v>7061</v>
      </c>
      <c r="AB41" s="6">
        <f t="shared" si="36"/>
        <v>27956</v>
      </c>
      <c r="AC41" s="6">
        <v>3296</v>
      </c>
      <c r="AD41" s="6">
        <f t="shared" si="37"/>
        <v>47678</v>
      </c>
      <c r="AE41" s="6">
        <v>22360</v>
      </c>
      <c r="AF41" s="6">
        <f t="shared" si="38"/>
        <v>79715</v>
      </c>
      <c r="AG41" s="6">
        <v>8057</v>
      </c>
      <c r="AH41" s="6">
        <f t="shared" si="39"/>
        <v>99883</v>
      </c>
      <c r="AI41" s="6">
        <v>8061</v>
      </c>
      <c r="AJ41" s="6">
        <f t="shared" si="40"/>
        <v>31234</v>
      </c>
      <c r="AK41" s="6">
        <v>3684</v>
      </c>
      <c r="AL41" s="6">
        <f t="shared" si="41"/>
        <v>52082</v>
      </c>
      <c r="AM41" s="6">
        <v>26432</v>
      </c>
      <c r="AN41" s="6">
        <f t="shared" si="42"/>
        <v>92284</v>
      </c>
      <c r="AO41" s="6">
        <v>9374</v>
      </c>
      <c r="AP41" s="6">
        <f t="shared" si="43"/>
        <v>112320</v>
      </c>
      <c r="AQ41" s="6">
        <v>32968</v>
      </c>
      <c r="AR41" s="6">
        <f t="shared" si="44"/>
        <v>126375</v>
      </c>
      <c r="AS41" s="6">
        <v>10892</v>
      </c>
      <c r="AT41" s="6">
        <f t="shared" si="45"/>
        <v>116551</v>
      </c>
      <c r="AU41" s="6">
        <v>14597</v>
      </c>
      <c r="AV41" s="6">
        <f t="shared" si="46"/>
        <v>65325</v>
      </c>
      <c r="AW41" s="6">
        <v>5202</v>
      </c>
      <c r="AX41" s="6">
        <f t="shared" si="47"/>
        <v>56313</v>
      </c>
    </row>
    <row r="42" spans="1:50" x14ac:dyDescent="0.25">
      <c r="A42" s="4">
        <v>10</v>
      </c>
      <c r="B42" s="11">
        <v>7</v>
      </c>
      <c r="C42" s="4">
        <v>875</v>
      </c>
      <c r="D42" s="4">
        <f t="shared" si="24"/>
        <v>18799</v>
      </c>
      <c r="E42" s="4">
        <v>904</v>
      </c>
      <c r="F42" s="4">
        <f t="shared" si="25"/>
        <v>46829</v>
      </c>
      <c r="G42" s="4">
        <v>6005</v>
      </c>
      <c r="H42" s="4">
        <f t="shared" si="26"/>
        <v>48898</v>
      </c>
      <c r="I42" s="4">
        <v>3622</v>
      </c>
      <c r="J42" s="4">
        <f t="shared" si="27"/>
        <v>84659</v>
      </c>
      <c r="K42" s="4">
        <v>986</v>
      </c>
      <c r="L42" s="4">
        <f t="shared" si="28"/>
        <v>20926</v>
      </c>
      <c r="M42" s="4">
        <v>972</v>
      </c>
      <c r="N42" s="4">
        <f t="shared" si="29"/>
        <v>50586</v>
      </c>
      <c r="O42" s="4">
        <v>6880</v>
      </c>
      <c r="P42" s="4">
        <f t="shared" si="30"/>
        <v>56579</v>
      </c>
      <c r="Q42" s="4">
        <v>4009</v>
      </c>
      <c r="R42" s="4">
        <f t="shared" si="31"/>
        <v>93593</v>
      </c>
      <c r="S42" s="4">
        <v>12922</v>
      </c>
      <c r="T42" s="4">
        <f t="shared" si="32"/>
        <v>88067</v>
      </c>
      <c r="U42" s="4">
        <v>5871</v>
      </c>
      <c r="V42" s="4">
        <f t="shared" si="33"/>
        <v>100654</v>
      </c>
      <c r="W42" s="4">
        <v>7028</v>
      </c>
      <c r="X42" s="4">
        <f t="shared" si="34"/>
        <v>52414</v>
      </c>
      <c r="Y42" s="4">
        <v>2834</v>
      </c>
      <c r="Z42" s="4">
        <f t="shared" si="35"/>
        <v>57647</v>
      </c>
      <c r="AA42" s="4">
        <v>10966</v>
      </c>
      <c r="AB42" s="4">
        <f t="shared" si="36"/>
        <v>38922</v>
      </c>
      <c r="AC42" s="4">
        <v>3235</v>
      </c>
      <c r="AD42" s="4">
        <f t="shared" si="37"/>
        <v>50913</v>
      </c>
      <c r="AE42" s="4">
        <v>25019</v>
      </c>
      <c r="AF42" s="4">
        <f t="shared" si="38"/>
        <v>104734</v>
      </c>
      <c r="AG42" s="4">
        <v>6669</v>
      </c>
      <c r="AH42" s="4">
        <f t="shared" si="39"/>
        <v>106552</v>
      </c>
      <c r="AI42" s="4">
        <v>12320</v>
      </c>
      <c r="AJ42" s="4">
        <f t="shared" si="40"/>
        <v>43554</v>
      </c>
      <c r="AK42" s="4">
        <v>3534</v>
      </c>
      <c r="AL42" s="4">
        <f t="shared" si="41"/>
        <v>55616</v>
      </c>
      <c r="AM42" s="4">
        <v>29144</v>
      </c>
      <c r="AN42" s="4">
        <f t="shared" si="42"/>
        <v>121428</v>
      </c>
      <c r="AO42" s="4">
        <v>7539</v>
      </c>
      <c r="AP42" s="4">
        <f t="shared" si="43"/>
        <v>119859</v>
      </c>
      <c r="AQ42" s="4">
        <v>27846</v>
      </c>
      <c r="AR42" s="4">
        <f t="shared" si="44"/>
        <v>154221</v>
      </c>
      <c r="AS42" s="4">
        <v>6830</v>
      </c>
      <c r="AT42" s="4">
        <f t="shared" si="45"/>
        <v>123381</v>
      </c>
      <c r="AU42" s="4">
        <v>11022</v>
      </c>
      <c r="AV42" s="4">
        <f t="shared" si="46"/>
        <v>76347</v>
      </c>
      <c r="AW42" s="4">
        <v>2825</v>
      </c>
      <c r="AX42" s="4">
        <f t="shared" si="47"/>
        <v>59138</v>
      </c>
    </row>
    <row r="43" spans="1:50" x14ac:dyDescent="0.25">
      <c r="A43" s="5" t="s">
        <v>7</v>
      </c>
      <c r="B43" s="5"/>
      <c r="C43" s="5">
        <f>SUM(C33:C42)</f>
        <v>18799</v>
      </c>
      <c r="D43" s="5"/>
      <c r="E43" s="5">
        <f>SUM(E33:E42)</f>
        <v>46829</v>
      </c>
      <c r="F43" s="5"/>
      <c r="G43" s="5">
        <f>SUM(G33:G42)</f>
        <v>48898</v>
      </c>
      <c r="H43" s="5"/>
      <c r="I43" s="5">
        <f>SUM(I33:I42)</f>
        <v>84659</v>
      </c>
      <c r="J43" s="5"/>
      <c r="K43" s="5">
        <f>SUM(K33:K42)</f>
        <v>20926</v>
      </c>
      <c r="L43" s="5"/>
      <c r="M43" s="5">
        <f>SUM(M33:M42)</f>
        <v>50586</v>
      </c>
      <c r="N43" s="5"/>
      <c r="O43" s="5">
        <f>SUM(O33:O42)</f>
        <v>56579</v>
      </c>
      <c r="P43" s="5"/>
      <c r="Q43" s="5">
        <f>SUM(Q33:Q42)</f>
        <v>93593</v>
      </c>
      <c r="R43" s="5"/>
      <c r="S43" s="5">
        <f>SUM(S33:S42)</f>
        <v>88067</v>
      </c>
      <c r="T43" s="5"/>
      <c r="U43" s="5">
        <f>SUM(U33:U42)</f>
        <v>100654</v>
      </c>
      <c r="V43" s="5"/>
      <c r="W43" s="5">
        <f>SUM(W33:W42)</f>
        <v>52414</v>
      </c>
      <c r="X43" s="5"/>
      <c r="Y43" s="5">
        <f>SUM(Y33:Y42)</f>
        <v>57647</v>
      </c>
      <c r="Z43" s="5"/>
      <c r="AA43" s="5">
        <f>SUM(AA33:AA42)</f>
        <v>38922</v>
      </c>
      <c r="AB43" s="5"/>
      <c r="AC43" s="5">
        <f>SUM(AC33:AC42)</f>
        <v>50913</v>
      </c>
      <c r="AD43" s="5"/>
      <c r="AE43" s="5">
        <f>SUM(AE33:AE42)</f>
        <v>104734</v>
      </c>
      <c r="AF43" s="5"/>
      <c r="AG43" s="5">
        <f>SUM(AG33:AG42)</f>
        <v>106552</v>
      </c>
      <c r="AH43" s="5"/>
      <c r="AI43" s="5">
        <f>SUM(AI33:AI42)</f>
        <v>43554</v>
      </c>
      <c r="AJ43" s="5"/>
      <c r="AK43" s="5">
        <f>SUM(AK33:AK42)</f>
        <v>55616</v>
      </c>
      <c r="AL43" s="5"/>
      <c r="AM43" s="5">
        <f>SUM(AM33:AM42)</f>
        <v>121428</v>
      </c>
      <c r="AN43" s="5"/>
      <c r="AO43" s="5">
        <f>SUM(AO33:AO42)</f>
        <v>119859</v>
      </c>
      <c r="AP43" s="5"/>
      <c r="AQ43" s="5">
        <f>SUM(AQ33:AQ42)</f>
        <v>154221</v>
      </c>
      <c r="AR43" s="5"/>
      <c r="AS43" s="5">
        <f>SUM(AS33:AS42)</f>
        <v>123381</v>
      </c>
      <c r="AT43" s="5"/>
      <c r="AU43" s="5">
        <f>SUM(AU33:AU42)</f>
        <v>76347</v>
      </c>
      <c r="AV43" s="5"/>
      <c r="AW43" s="5">
        <f>SUM(AW33:AW42)</f>
        <v>59138</v>
      </c>
      <c r="AX43" s="5"/>
    </row>
    <row r="46" spans="1:50" x14ac:dyDescent="0.25">
      <c r="A46" t="s">
        <v>16</v>
      </c>
    </row>
    <row r="48" spans="1:50" x14ac:dyDescent="0.25">
      <c r="A48" t="s">
        <v>8</v>
      </c>
    </row>
    <row r="50" spans="1:50" x14ac:dyDescent="0.25">
      <c r="A50" s="3"/>
      <c r="B50" s="3"/>
      <c r="C50" s="7" t="s">
        <v>12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7" t="s">
        <v>14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9"/>
    </row>
    <row r="51" spans="1:50" x14ac:dyDescent="0.25">
      <c r="A51" s="3"/>
      <c r="B51" s="3"/>
      <c r="C51" s="7" t="s">
        <v>1</v>
      </c>
      <c r="D51" s="8"/>
      <c r="E51" s="8"/>
      <c r="F51" s="9"/>
      <c r="G51" s="7" t="s">
        <v>0</v>
      </c>
      <c r="H51" s="8"/>
      <c r="I51" s="8"/>
      <c r="J51" s="9"/>
      <c r="K51" s="7" t="s">
        <v>2</v>
      </c>
      <c r="L51" s="8"/>
      <c r="M51" s="8"/>
      <c r="N51" s="9"/>
      <c r="O51" s="7" t="s">
        <v>3</v>
      </c>
      <c r="P51" s="8"/>
      <c r="Q51" s="8"/>
      <c r="R51" s="9"/>
      <c r="S51" s="7" t="s">
        <v>4</v>
      </c>
      <c r="T51" s="8"/>
      <c r="U51" s="8"/>
      <c r="V51" s="9"/>
      <c r="W51" s="7" t="s">
        <v>5</v>
      </c>
      <c r="X51" s="8"/>
      <c r="Y51" s="8"/>
      <c r="Z51" s="9"/>
      <c r="AA51" s="7" t="s">
        <v>1</v>
      </c>
      <c r="AB51" s="8"/>
      <c r="AC51" s="8"/>
      <c r="AD51" s="9"/>
      <c r="AE51" s="7" t="s">
        <v>0</v>
      </c>
      <c r="AF51" s="8"/>
      <c r="AG51" s="8"/>
      <c r="AH51" s="9"/>
      <c r="AI51" s="7" t="s">
        <v>2</v>
      </c>
      <c r="AJ51" s="8"/>
      <c r="AK51" s="8"/>
      <c r="AL51" s="9"/>
      <c r="AM51" s="7" t="s">
        <v>3</v>
      </c>
      <c r="AN51" s="8"/>
      <c r="AO51" s="8"/>
      <c r="AP51" s="9"/>
      <c r="AQ51" s="7" t="s">
        <v>4</v>
      </c>
      <c r="AR51" s="8"/>
      <c r="AS51" s="8"/>
      <c r="AT51" s="9"/>
      <c r="AU51" s="7" t="s">
        <v>5</v>
      </c>
      <c r="AV51" s="8"/>
      <c r="AW51" s="8"/>
      <c r="AX51" s="9"/>
    </row>
    <row r="52" spans="1:50" x14ac:dyDescent="0.25">
      <c r="A52" s="3" t="s">
        <v>6</v>
      </c>
      <c r="B52" s="3" t="s">
        <v>20</v>
      </c>
      <c r="C52" s="3" t="s">
        <v>18</v>
      </c>
      <c r="D52" s="3" t="s">
        <v>19</v>
      </c>
      <c r="E52" s="3" t="s">
        <v>15</v>
      </c>
      <c r="F52" s="3" t="s">
        <v>19</v>
      </c>
      <c r="G52" s="3" t="s">
        <v>18</v>
      </c>
      <c r="H52" s="3" t="s">
        <v>19</v>
      </c>
      <c r="I52" s="3" t="s">
        <v>15</v>
      </c>
      <c r="J52" s="3" t="s">
        <v>19</v>
      </c>
      <c r="K52" s="3" t="s">
        <v>18</v>
      </c>
      <c r="L52" s="3" t="s">
        <v>19</v>
      </c>
      <c r="M52" s="3" t="s">
        <v>15</v>
      </c>
      <c r="N52" s="3" t="s">
        <v>19</v>
      </c>
      <c r="O52" s="3" t="s">
        <v>18</v>
      </c>
      <c r="P52" s="3" t="s">
        <v>19</v>
      </c>
      <c r="Q52" s="3" t="s">
        <v>15</v>
      </c>
      <c r="R52" s="3" t="s">
        <v>19</v>
      </c>
      <c r="S52" s="3" t="s">
        <v>18</v>
      </c>
      <c r="T52" s="3" t="s">
        <v>19</v>
      </c>
      <c r="U52" s="3" t="s">
        <v>15</v>
      </c>
      <c r="V52" s="3" t="s">
        <v>19</v>
      </c>
      <c r="W52" s="3" t="s">
        <v>18</v>
      </c>
      <c r="X52" s="3" t="s">
        <v>19</v>
      </c>
      <c r="Y52" s="3" t="s">
        <v>15</v>
      </c>
      <c r="Z52" s="3" t="s">
        <v>19</v>
      </c>
      <c r="AA52" s="3" t="s">
        <v>18</v>
      </c>
      <c r="AB52" s="3" t="s">
        <v>19</v>
      </c>
      <c r="AC52" s="3" t="s">
        <v>15</v>
      </c>
      <c r="AD52" s="3" t="s">
        <v>19</v>
      </c>
      <c r="AE52" s="3" t="s">
        <v>18</v>
      </c>
      <c r="AF52" s="3" t="s">
        <v>19</v>
      </c>
      <c r="AG52" s="3" t="s">
        <v>15</v>
      </c>
      <c r="AH52" s="3" t="s">
        <v>19</v>
      </c>
      <c r="AI52" s="3" t="s">
        <v>18</v>
      </c>
      <c r="AJ52" s="3" t="s">
        <v>19</v>
      </c>
      <c r="AK52" s="3" t="s">
        <v>15</v>
      </c>
      <c r="AL52" s="3" t="s">
        <v>19</v>
      </c>
      <c r="AM52" s="3" t="s">
        <v>18</v>
      </c>
      <c r="AN52" s="3" t="s">
        <v>19</v>
      </c>
      <c r="AO52" s="3" t="s">
        <v>15</v>
      </c>
      <c r="AP52" s="3" t="s">
        <v>19</v>
      </c>
      <c r="AQ52" s="3" t="s">
        <v>18</v>
      </c>
      <c r="AR52" s="3" t="s">
        <v>19</v>
      </c>
      <c r="AS52" s="3" t="s">
        <v>15</v>
      </c>
      <c r="AT52" s="3" t="s">
        <v>19</v>
      </c>
      <c r="AU52" s="3" t="s">
        <v>18</v>
      </c>
      <c r="AV52" s="3" t="s">
        <v>19</v>
      </c>
      <c r="AW52" s="3" t="s">
        <v>15</v>
      </c>
      <c r="AX52" s="3" t="s">
        <v>19</v>
      </c>
    </row>
    <row r="53" spans="1:50" x14ac:dyDescent="0.25">
      <c r="A53" s="6">
        <v>1</v>
      </c>
      <c r="B53" s="10">
        <v>653</v>
      </c>
      <c r="C53" s="6">
        <v>5893</v>
      </c>
      <c r="D53" s="6">
        <f>C53</f>
        <v>5893</v>
      </c>
      <c r="E53" s="6">
        <v>25385</v>
      </c>
      <c r="F53" s="6">
        <f>E53</f>
        <v>25385</v>
      </c>
      <c r="G53" s="6">
        <v>6948</v>
      </c>
      <c r="H53" s="6">
        <f>G53</f>
        <v>6948</v>
      </c>
      <c r="I53" s="6">
        <v>29407</v>
      </c>
      <c r="J53" s="6">
        <f>I53</f>
        <v>29407</v>
      </c>
      <c r="K53" s="6">
        <v>6279</v>
      </c>
      <c r="L53" s="6">
        <f>K53</f>
        <v>6279</v>
      </c>
      <c r="M53" s="6">
        <v>27205</v>
      </c>
      <c r="N53" s="6">
        <f>M53</f>
        <v>27205</v>
      </c>
      <c r="O53" s="6">
        <v>7515</v>
      </c>
      <c r="P53" s="6">
        <f>O53</f>
        <v>7515</v>
      </c>
      <c r="Q53" s="6">
        <v>31886</v>
      </c>
      <c r="R53" s="6">
        <f>Q53</f>
        <v>31886</v>
      </c>
      <c r="S53" s="6">
        <v>1924</v>
      </c>
      <c r="T53" s="6">
        <f>S53</f>
        <v>1924</v>
      </c>
      <c r="U53" s="6">
        <v>7810</v>
      </c>
      <c r="V53" s="6">
        <f>U53</f>
        <v>7810</v>
      </c>
      <c r="W53" s="6">
        <v>688</v>
      </c>
      <c r="X53" s="6">
        <f>W53</f>
        <v>688</v>
      </c>
      <c r="Y53" s="6">
        <v>3129</v>
      </c>
      <c r="Z53" s="6">
        <f>Y53</f>
        <v>3129</v>
      </c>
      <c r="AA53" s="6">
        <v>3883</v>
      </c>
      <c r="AB53" s="6">
        <f>AA53</f>
        <v>3883</v>
      </c>
      <c r="AC53" s="6">
        <v>19023</v>
      </c>
      <c r="AD53" s="6">
        <f>AC53</f>
        <v>19023</v>
      </c>
      <c r="AE53" s="6">
        <v>5380</v>
      </c>
      <c r="AF53" s="6">
        <f>AE53</f>
        <v>5380</v>
      </c>
      <c r="AG53" s="6">
        <v>25276</v>
      </c>
      <c r="AH53" s="6">
        <f>AG53</f>
        <v>25276</v>
      </c>
      <c r="AI53" s="6">
        <v>4134</v>
      </c>
      <c r="AJ53" s="6">
        <f>AI53</f>
        <v>4134</v>
      </c>
      <c r="AK53" s="6">
        <v>20431</v>
      </c>
      <c r="AL53" s="6">
        <f>AK53</f>
        <v>20431</v>
      </c>
      <c r="AM53" s="6">
        <v>5802</v>
      </c>
      <c r="AN53" s="6">
        <f>AM53</f>
        <v>5802</v>
      </c>
      <c r="AO53" s="6">
        <v>27733</v>
      </c>
      <c r="AP53" s="6">
        <f>AO53</f>
        <v>27733</v>
      </c>
      <c r="AQ53" s="6">
        <v>2357</v>
      </c>
      <c r="AR53" s="6">
        <f>AQ53</f>
        <v>2357</v>
      </c>
      <c r="AS53" s="6">
        <v>10730</v>
      </c>
      <c r="AT53" s="6">
        <f>AS53</f>
        <v>10730</v>
      </c>
      <c r="AU53" s="6">
        <v>689</v>
      </c>
      <c r="AV53" s="6">
        <f>AU53</f>
        <v>689</v>
      </c>
      <c r="AW53" s="6">
        <v>3428</v>
      </c>
      <c r="AX53" s="6">
        <f>AW53</f>
        <v>3428</v>
      </c>
    </row>
    <row r="54" spans="1:50" x14ac:dyDescent="0.25">
      <c r="A54" s="4">
        <v>2</v>
      </c>
      <c r="B54" s="11">
        <v>446</v>
      </c>
      <c r="C54" s="4">
        <v>4653</v>
      </c>
      <c r="D54" s="4">
        <f>C54+D53</f>
        <v>10546</v>
      </c>
      <c r="E54" s="4">
        <v>11490</v>
      </c>
      <c r="F54" s="4">
        <f>E54+F53</f>
        <v>36875</v>
      </c>
      <c r="G54" s="4">
        <v>6630</v>
      </c>
      <c r="H54" s="4">
        <f>G54+H53</f>
        <v>13578</v>
      </c>
      <c r="I54" s="4">
        <v>16310</v>
      </c>
      <c r="J54" s="4">
        <f>I54+J53</f>
        <v>45717</v>
      </c>
      <c r="K54" s="4">
        <v>5065</v>
      </c>
      <c r="L54" s="4">
        <f>K54+L53</f>
        <v>11344</v>
      </c>
      <c r="M54" s="4">
        <v>12611</v>
      </c>
      <c r="N54" s="4">
        <f>M54+N53</f>
        <v>39816</v>
      </c>
      <c r="O54" s="4">
        <v>7414</v>
      </c>
      <c r="P54" s="4">
        <f>O54+P53</f>
        <v>14929</v>
      </c>
      <c r="Q54" s="4">
        <v>18271</v>
      </c>
      <c r="R54" s="4">
        <f>Q54+R53</f>
        <v>50157</v>
      </c>
      <c r="S54" s="4">
        <v>4188</v>
      </c>
      <c r="T54" s="4">
        <f>S54+T53</f>
        <v>6112</v>
      </c>
      <c r="U54" s="4">
        <v>10342</v>
      </c>
      <c r="V54" s="4">
        <f>U54+V53</f>
        <v>18152</v>
      </c>
      <c r="W54" s="4">
        <v>1839</v>
      </c>
      <c r="X54" s="4">
        <f>W54+X53</f>
        <v>2527</v>
      </c>
      <c r="Y54" s="4">
        <v>4682</v>
      </c>
      <c r="Z54" s="4">
        <f>Y54+Z53</f>
        <v>7811</v>
      </c>
      <c r="AA54" s="4">
        <v>3838</v>
      </c>
      <c r="AB54" s="4">
        <f>AA54+AB53</f>
        <v>7721</v>
      </c>
      <c r="AC54" s="4">
        <v>9509</v>
      </c>
      <c r="AD54" s="4">
        <f>AC54+AD53</f>
        <v>28532</v>
      </c>
      <c r="AE54" s="4">
        <v>7063</v>
      </c>
      <c r="AF54" s="4">
        <f>AE54+AF53</f>
        <v>12443</v>
      </c>
      <c r="AG54" s="4">
        <v>17666</v>
      </c>
      <c r="AH54" s="4">
        <f>AG54+AH53</f>
        <v>42942</v>
      </c>
      <c r="AI54" s="4">
        <v>4185</v>
      </c>
      <c r="AJ54" s="4">
        <f>AI54+AJ53</f>
        <v>8319</v>
      </c>
      <c r="AK54" s="4">
        <v>10435</v>
      </c>
      <c r="AL54" s="4">
        <f>AK54+AL53</f>
        <v>30866</v>
      </c>
      <c r="AM54" s="4">
        <v>7831</v>
      </c>
      <c r="AN54" s="4">
        <f>AM54+AN53</f>
        <v>13633</v>
      </c>
      <c r="AO54" s="4">
        <v>19890</v>
      </c>
      <c r="AP54" s="4">
        <f>AO54+AP53</f>
        <v>47623</v>
      </c>
      <c r="AQ54" s="4">
        <v>5742</v>
      </c>
      <c r="AR54" s="4">
        <f>AQ54+AR53</f>
        <v>8099</v>
      </c>
      <c r="AS54" s="4">
        <v>14586</v>
      </c>
      <c r="AT54" s="4">
        <f>AS54+AT53</f>
        <v>25316</v>
      </c>
      <c r="AU54" s="4">
        <v>2096</v>
      </c>
      <c r="AV54" s="4">
        <f>AU54+AV53</f>
        <v>2785</v>
      </c>
      <c r="AW54" s="4">
        <v>5131</v>
      </c>
      <c r="AX54" s="4">
        <f>AW54+AX53</f>
        <v>8559</v>
      </c>
    </row>
    <row r="55" spans="1:50" x14ac:dyDescent="0.25">
      <c r="A55" s="6">
        <v>3</v>
      </c>
      <c r="B55" s="11">
        <v>315</v>
      </c>
      <c r="C55" s="6">
        <v>4275</v>
      </c>
      <c r="D55" s="6">
        <f t="shared" ref="D55:D62" si="48">C55+D54</f>
        <v>14821</v>
      </c>
      <c r="E55" s="6">
        <v>7225</v>
      </c>
      <c r="F55" s="6">
        <f t="shared" ref="F55:F62" si="49">E55+F54</f>
        <v>44100</v>
      </c>
      <c r="G55" s="6">
        <v>7474</v>
      </c>
      <c r="H55" s="6">
        <f t="shared" ref="H55:H62" si="50">G55+H54</f>
        <v>21052</v>
      </c>
      <c r="I55" s="6">
        <v>12974</v>
      </c>
      <c r="J55" s="6">
        <f t="shared" ref="J55:J62" si="51">I55+J54</f>
        <v>58691</v>
      </c>
      <c r="K55" s="6">
        <v>4752</v>
      </c>
      <c r="L55" s="6">
        <f t="shared" ref="L55:L62" si="52">K55+L54</f>
        <v>16096</v>
      </c>
      <c r="M55" s="6">
        <v>8035</v>
      </c>
      <c r="N55" s="6">
        <f t="shared" ref="N55:N62" si="53">M55+N54</f>
        <v>47851</v>
      </c>
      <c r="O55" s="6">
        <v>8493</v>
      </c>
      <c r="P55" s="6">
        <f t="shared" ref="P55:P62" si="54">O55+P54</f>
        <v>23422</v>
      </c>
      <c r="Q55" s="6">
        <v>14656</v>
      </c>
      <c r="R55" s="6">
        <f t="shared" ref="R55:R62" si="55">Q55+R54</f>
        <v>64813</v>
      </c>
      <c r="S55" s="6">
        <v>6931</v>
      </c>
      <c r="T55" s="6">
        <f t="shared" ref="T55:T62" si="56">S55+T54</f>
        <v>13043</v>
      </c>
      <c r="U55" s="6">
        <v>12481</v>
      </c>
      <c r="V55" s="6">
        <f t="shared" ref="V55:V62" si="57">U55+V54</f>
        <v>30633</v>
      </c>
      <c r="W55" s="6">
        <v>3190</v>
      </c>
      <c r="X55" s="6">
        <f t="shared" ref="X55:X62" si="58">W55+X54</f>
        <v>5717</v>
      </c>
      <c r="Y55" s="6">
        <v>5860</v>
      </c>
      <c r="Z55" s="6">
        <f t="shared" ref="Z55:Z62" si="59">Y55+Z54</f>
        <v>13671</v>
      </c>
      <c r="AA55" s="6">
        <v>3860</v>
      </c>
      <c r="AB55" s="6">
        <f t="shared" ref="AB55:AB62" si="60">AA55+AB54</f>
        <v>11581</v>
      </c>
      <c r="AC55" s="6">
        <v>6585</v>
      </c>
      <c r="AD55" s="6">
        <f t="shared" ref="AD55:AD62" si="61">AC55+AD54</f>
        <v>35117</v>
      </c>
      <c r="AE55" s="6">
        <v>8784</v>
      </c>
      <c r="AF55" s="6">
        <f t="shared" ref="AF55:AF62" si="62">AE55+AF54</f>
        <v>21227</v>
      </c>
      <c r="AG55" s="6">
        <v>15258</v>
      </c>
      <c r="AH55" s="6">
        <f t="shared" ref="AH55:AH62" si="63">AG55+AH54</f>
        <v>58200</v>
      </c>
      <c r="AI55" s="6">
        <v>4267</v>
      </c>
      <c r="AJ55" s="6">
        <f t="shared" ref="AJ55:AJ62" si="64">AI55+AJ54</f>
        <v>12586</v>
      </c>
      <c r="AK55" s="6">
        <v>7315</v>
      </c>
      <c r="AL55" s="6">
        <f t="shared" ref="AL55:AL62" si="65">AK55+AL54</f>
        <v>38181</v>
      </c>
      <c r="AM55" s="6">
        <v>9959</v>
      </c>
      <c r="AN55" s="6">
        <f t="shared" ref="AN55:AN62" si="66">AM55+AN54</f>
        <v>23592</v>
      </c>
      <c r="AO55" s="6">
        <v>17263</v>
      </c>
      <c r="AP55" s="6">
        <f t="shared" ref="AP55:AP62" si="67">AO55+AP54</f>
        <v>64886</v>
      </c>
      <c r="AQ55" s="6">
        <v>9754</v>
      </c>
      <c r="AR55" s="6">
        <f t="shared" ref="AR55:AR62" si="68">AQ55+AR54</f>
        <v>17853</v>
      </c>
      <c r="AS55" s="6">
        <v>16210</v>
      </c>
      <c r="AT55" s="6">
        <f t="shared" ref="AT55:AT62" si="69">AS55+AT54</f>
        <v>41526</v>
      </c>
      <c r="AU55" s="6">
        <v>4062</v>
      </c>
      <c r="AV55" s="6">
        <f t="shared" ref="AV55:AV62" si="70">AU55+AV54</f>
        <v>6847</v>
      </c>
      <c r="AW55" s="6">
        <v>6262</v>
      </c>
      <c r="AX55" s="6">
        <f t="shared" ref="AX55:AX62" si="71">AW55+AX54</f>
        <v>14821</v>
      </c>
    </row>
    <row r="56" spans="1:50" x14ac:dyDescent="0.25">
      <c r="A56" s="4">
        <v>4</v>
      </c>
      <c r="B56" s="11">
        <v>189</v>
      </c>
      <c r="C56" s="4">
        <v>3485</v>
      </c>
      <c r="D56" s="4">
        <f t="shared" si="48"/>
        <v>18306</v>
      </c>
      <c r="E56" s="4">
        <v>4409</v>
      </c>
      <c r="F56" s="4">
        <f t="shared" si="49"/>
        <v>48509</v>
      </c>
      <c r="G56" s="4">
        <v>7511</v>
      </c>
      <c r="H56" s="4">
        <f t="shared" si="50"/>
        <v>28563</v>
      </c>
      <c r="I56" s="4">
        <v>9555</v>
      </c>
      <c r="J56" s="4">
        <f t="shared" si="51"/>
        <v>68246</v>
      </c>
      <c r="K56" s="4">
        <v>3906</v>
      </c>
      <c r="L56" s="4">
        <f t="shared" si="52"/>
        <v>20002</v>
      </c>
      <c r="M56" s="4">
        <v>4890</v>
      </c>
      <c r="N56" s="4">
        <f t="shared" si="53"/>
        <v>52741</v>
      </c>
      <c r="O56" s="4">
        <v>8632</v>
      </c>
      <c r="P56" s="4">
        <f t="shared" si="54"/>
        <v>32054</v>
      </c>
      <c r="Q56" s="4">
        <v>10866</v>
      </c>
      <c r="R56" s="4">
        <f t="shared" si="55"/>
        <v>75679</v>
      </c>
      <c r="S56" s="4">
        <v>9591</v>
      </c>
      <c r="T56" s="4">
        <f t="shared" si="56"/>
        <v>22634</v>
      </c>
      <c r="U56" s="4">
        <v>12264</v>
      </c>
      <c r="V56" s="4">
        <f t="shared" si="57"/>
        <v>42897</v>
      </c>
      <c r="W56" s="4">
        <v>4865</v>
      </c>
      <c r="X56" s="4">
        <f t="shared" si="58"/>
        <v>10582</v>
      </c>
      <c r="Y56" s="4">
        <v>6288</v>
      </c>
      <c r="Z56" s="4">
        <f t="shared" si="59"/>
        <v>19959</v>
      </c>
      <c r="AA56" s="4">
        <v>3256</v>
      </c>
      <c r="AB56" s="4">
        <f t="shared" si="60"/>
        <v>14837</v>
      </c>
      <c r="AC56" s="4">
        <v>4216</v>
      </c>
      <c r="AD56" s="4">
        <f t="shared" si="61"/>
        <v>39333</v>
      </c>
      <c r="AE56" s="4">
        <v>9143</v>
      </c>
      <c r="AF56" s="4">
        <f t="shared" si="62"/>
        <v>30370</v>
      </c>
      <c r="AG56" s="4">
        <v>11482</v>
      </c>
      <c r="AH56" s="4">
        <f t="shared" si="63"/>
        <v>69682</v>
      </c>
      <c r="AI56" s="4">
        <v>3637</v>
      </c>
      <c r="AJ56" s="4">
        <f t="shared" si="64"/>
        <v>16223</v>
      </c>
      <c r="AK56" s="4">
        <v>4729</v>
      </c>
      <c r="AL56" s="4">
        <f t="shared" si="65"/>
        <v>42910</v>
      </c>
      <c r="AM56" s="4">
        <v>10523</v>
      </c>
      <c r="AN56" s="4">
        <f t="shared" si="66"/>
        <v>34115</v>
      </c>
      <c r="AO56" s="4">
        <v>13136</v>
      </c>
      <c r="AP56" s="4">
        <f t="shared" si="67"/>
        <v>78022</v>
      </c>
      <c r="AQ56" s="4">
        <v>13044</v>
      </c>
      <c r="AR56" s="4">
        <f t="shared" si="68"/>
        <v>30897</v>
      </c>
      <c r="AS56" s="4">
        <v>15231</v>
      </c>
      <c r="AT56" s="4">
        <f t="shared" si="69"/>
        <v>56757</v>
      </c>
      <c r="AU56" s="4">
        <v>6158</v>
      </c>
      <c r="AV56" s="4">
        <f t="shared" si="70"/>
        <v>13005</v>
      </c>
      <c r="AW56" s="4">
        <v>6824</v>
      </c>
      <c r="AX56" s="4">
        <f t="shared" si="71"/>
        <v>21645</v>
      </c>
    </row>
    <row r="57" spans="1:50" x14ac:dyDescent="0.25">
      <c r="A57" s="6">
        <v>5</v>
      </c>
      <c r="B57" s="11">
        <v>121</v>
      </c>
      <c r="C57" s="6">
        <v>3250</v>
      </c>
      <c r="D57" s="6">
        <f t="shared" si="48"/>
        <v>21556</v>
      </c>
      <c r="E57" s="6">
        <v>3118</v>
      </c>
      <c r="F57" s="6">
        <f t="shared" si="49"/>
        <v>51627</v>
      </c>
      <c r="G57" s="6">
        <v>8069</v>
      </c>
      <c r="H57" s="6">
        <f t="shared" si="50"/>
        <v>36632</v>
      </c>
      <c r="I57" s="6">
        <v>7757</v>
      </c>
      <c r="J57" s="6">
        <f t="shared" si="51"/>
        <v>76003</v>
      </c>
      <c r="K57" s="6">
        <v>3715</v>
      </c>
      <c r="L57" s="6">
        <f t="shared" si="52"/>
        <v>23717</v>
      </c>
      <c r="M57" s="6">
        <v>3467</v>
      </c>
      <c r="N57" s="6">
        <f t="shared" si="53"/>
        <v>56208</v>
      </c>
      <c r="O57" s="6">
        <v>9457</v>
      </c>
      <c r="P57" s="6">
        <f t="shared" si="54"/>
        <v>41511</v>
      </c>
      <c r="Q57" s="6">
        <v>8867</v>
      </c>
      <c r="R57" s="6">
        <f t="shared" si="55"/>
        <v>84546</v>
      </c>
      <c r="S57" s="6">
        <v>12286</v>
      </c>
      <c r="T57" s="6">
        <f t="shared" si="56"/>
        <v>34920</v>
      </c>
      <c r="U57" s="6">
        <v>11812</v>
      </c>
      <c r="V57" s="6">
        <f t="shared" si="57"/>
        <v>54709</v>
      </c>
      <c r="W57" s="6">
        <v>6544</v>
      </c>
      <c r="X57" s="6">
        <f t="shared" si="58"/>
        <v>17126</v>
      </c>
      <c r="Y57" s="6">
        <v>6412</v>
      </c>
      <c r="Z57" s="6">
        <f t="shared" si="59"/>
        <v>26371</v>
      </c>
      <c r="AA57" s="6">
        <v>3160</v>
      </c>
      <c r="AB57" s="6">
        <f t="shared" si="60"/>
        <v>17997</v>
      </c>
      <c r="AC57" s="6">
        <v>3211</v>
      </c>
      <c r="AD57" s="6">
        <f t="shared" si="61"/>
        <v>42544</v>
      </c>
      <c r="AE57" s="6">
        <v>10497</v>
      </c>
      <c r="AF57" s="6">
        <f t="shared" si="62"/>
        <v>40867</v>
      </c>
      <c r="AG57" s="6">
        <v>9620</v>
      </c>
      <c r="AH57" s="6">
        <f t="shared" si="63"/>
        <v>79302</v>
      </c>
      <c r="AI57" s="6">
        <v>3591</v>
      </c>
      <c r="AJ57" s="6">
        <f t="shared" si="64"/>
        <v>19814</v>
      </c>
      <c r="AK57" s="6">
        <v>3578</v>
      </c>
      <c r="AL57" s="6">
        <f t="shared" si="65"/>
        <v>46488</v>
      </c>
      <c r="AM57" s="6">
        <v>12287</v>
      </c>
      <c r="AN57" s="6">
        <f t="shared" si="66"/>
        <v>46402</v>
      </c>
      <c r="AO57" s="6">
        <v>11075</v>
      </c>
      <c r="AP57" s="6">
        <f t="shared" si="67"/>
        <v>89097</v>
      </c>
      <c r="AQ57" s="6">
        <v>17154</v>
      </c>
      <c r="AR57" s="6">
        <f t="shared" si="68"/>
        <v>48051</v>
      </c>
      <c r="AS57" s="6">
        <v>14144</v>
      </c>
      <c r="AT57" s="6">
        <f t="shared" si="69"/>
        <v>70901</v>
      </c>
      <c r="AU57" s="6">
        <v>8458</v>
      </c>
      <c r="AV57" s="6">
        <f t="shared" si="70"/>
        <v>21463</v>
      </c>
      <c r="AW57" s="6">
        <v>6647</v>
      </c>
      <c r="AX57" s="6">
        <f t="shared" si="71"/>
        <v>28292</v>
      </c>
    </row>
    <row r="58" spans="1:50" x14ac:dyDescent="0.25">
      <c r="A58" s="4">
        <v>6</v>
      </c>
      <c r="B58" s="11">
        <v>95</v>
      </c>
      <c r="C58" s="4">
        <v>3283</v>
      </c>
      <c r="D58" s="4">
        <f t="shared" si="48"/>
        <v>24839</v>
      </c>
      <c r="E58" s="4">
        <v>2353</v>
      </c>
      <c r="F58" s="4">
        <f t="shared" si="49"/>
        <v>53980</v>
      </c>
      <c r="G58" s="4">
        <v>9260</v>
      </c>
      <c r="H58" s="4">
        <f t="shared" si="50"/>
        <v>45892</v>
      </c>
      <c r="I58" s="4">
        <v>6546</v>
      </c>
      <c r="J58" s="4">
        <f t="shared" si="51"/>
        <v>82549</v>
      </c>
      <c r="K58" s="4">
        <v>3703</v>
      </c>
      <c r="L58" s="4">
        <f t="shared" si="52"/>
        <v>27420</v>
      </c>
      <c r="M58" s="4">
        <v>2642</v>
      </c>
      <c r="N58" s="4">
        <f t="shared" si="53"/>
        <v>58850</v>
      </c>
      <c r="O58" s="4">
        <v>10957</v>
      </c>
      <c r="P58" s="4">
        <f t="shared" si="54"/>
        <v>52468</v>
      </c>
      <c r="Q58" s="4">
        <v>7501</v>
      </c>
      <c r="R58" s="4">
        <f t="shared" si="55"/>
        <v>92047</v>
      </c>
      <c r="S58" s="4">
        <v>16310</v>
      </c>
      <c r="T58" s="4">
        <f t="shared" si="56"/>
        <v>51230</v>
      </c>
      <c r="U58" s="4">
        <v>10737</v>
      </c>
      <c r="V58" s="4">
        <f t="shared" si="57"/>
        <v>65446</v>
      </c>
      <c r="W58" s="4">
        <v>9056</v>
      </c>
      <c r="X58" s="4">
        <f t="shared" si="58"/>
        <v>26182</v>
      </c>
      <c r="Y58" s="4">
        <v>5878</v>
      </c>
      <c r="Z58" s="4">
        <f t="shared" si="59"/>
        <v>32249</v>
      </c>
      <c r="AA58" s="4">
        <v>3554</v>
      </c>
      <c r="AB58" s="4">
        <f t="shared" si="60"/>
        <v>21551</v>
      </c>
      <c r="AC58" s="4">
        <v>2892</v>
      </c>
      <c r="AD58" s="4">
        <f t="shared" si="61"/>
        <v>45436</v>
      </c>
      <c r="AE58" s="4">
        <v>12978</v>
      </c>
      <c r="AF58" s="4">
        <f t="shared" si="62"/>
        <v>53845</v>
      </c>
      <c r="AG58" s="4">
        <v>9157</v>
      </c>
      <c r="AH58" s="4">
        <f t="shared" si="63"/>
        <v>88459</v>
      </c>
      <c r="AI58" s="4">
        <v>4041</v>
      </c>
      <c r="AJ58" s="4">
        <f t="shared" si="64"/>
        <v>23855</v>
      </c>
      <c r="AK58" s="4">
        <v>3223</v>
      </c>
      <c r="AL58" s="4">
        <f t="shared" si="65"/>
        <v>49711</v>
      </c>
      <c r="AM58" s="4">
        <v>15235</v>
      </c>
      <c r="AN58" s="4">
        <f t="shared" si="66"/>
        <v>61637</v>
      </c>
      <c r="AO58" s="4">
        <v>10444</v>
      </c>
      <c r="AP58" s="4">
        <f t="shared" si="67"/>
        <v>99541</v>
      </c>
      <c r="AQ58" s="4">
        <v>23532</v>
      </c>
      <c r="AR58" s="4">
        <f t="shared" si="68"/>
        <v>71583</v>
      </c>
      <c r="AS58" s="4">
        <v>13475</v>
      </c>
      <c r="AT58" s="4">
        <f t="shared" si="69"/>
        <v>84376</v>
      </c>
      <c r="AU58" s="4">
        <v>12338</v>
      </c>
      <c r="AV58" s="4">
        <f t="shared" si="70"/>
        <v>33801</v>
      </c>
      <c r="AW58" s="4">
        <v>6254</v>
      </c>
      <c r="AX58" s="4">
        <f t="shared" si="71"/>
        <v>34546</v>
      </c>
    </row>
    <row r="59" spans="1:50" x14ac:dyDescent="0.25">
      <c r="A59" s="6">
        <v>7</v>
      </c>
      <c r="B59" s="11">
        <v>67</v>
      </c>
      <c r="C59" s="6">
        <v>3012</v>
      </c>
      <c r="D59" s="6">
        <f t="shared" si="48"/>
        <v>27851</v>
      </c>
      <c r="E59" s="6">
        <v>1839</v>
      </c>
      <c r="F59" s="6">
        <f t="shared" si="49"/>
        <v>55819</v>
      </c>
      <c r="G59" s="6">
        <v>10263</v>
      </c>
      <c r="H59" s="6">
        <f t="shared" si="50"/>
        <v>56155</v>
      </c>
      <c r="I59" s="6">
        <v>5518</v>
      </c>
      <c r="J59" s="6">
        <f t="shared" si="51"/>
        <v>88067</v>
      </c>
      <c r="K59" s="6">
        <v>3471</v>
      </c>
      <c r="L59" s="6">
        <f t="shared" si="52"/>
        <v>30891</v>
      </c>
      <c r="M59" s="6">
        <v>2026</v>
      </c>
      <c r="N59" s="6">
        <f t="shared" si="53"/>
        <v>60876</v>
      </c>
      <c r="O59" s="6">
        <v>12166</v>
      </c>
      <c r="P59" s="6">
        <f t="shared" si="54"/>
        <v>64634</v>
      </c>
      <c r="Q59" s="6">
        <v>6254</v>
      </c>
      <c r="R59" s="6">
        <f t="shared" si="55"/>
        <v>98301</v>
      </c>
      <c r="S59" s="6">
        <v>20302</v>
      </c>
      <c r="T59" s="6">
        <f t="shared" si="56"/>
        <v>71532</v>
      </c>
      <c r="U59" s="6">
        <v>9579</v>
      </c>
      <c r="V59" s="6">
        <f t="shared" si="57"/>
        <v>75025</v>
      </c>
      <c r="W59" s="6">
        <v>11607</v>
      </c>
      <c r="X59" s="6">
        <f t="shared" si="58"/>
        <v>37789</v>
      </c>
      <c r="Y59" s="6">
        <v>5351</v>
      </c>
      <c r="Z59" s="6">
        <f t="shared" si="59"/>
        <v>37600</v>
      </c>
      <c r="AA59" s="6">
        <v>3990</v>
      </c>
      <c r="AB59" s="6">
        <f t="shared" si="60"/>
        <v>25541</v>
      </c>
      <c r="AC59" s="6">
        <v>2561</v>
      </c>
      <c r="AD59" s="6">
        <f t="shared" si="61"/>
        <v>47997</v>
      </c>
      <c r="AE59" s="6">
        <v>15365</v>
      </c>
      <c r="AF59" s="6">
        <f t="shared" si="62"/>
        <v>69210</v>
      </c>
      <c r="AG59" s="6">
        <v>7914</v>
      </c>
      <c r="AH59" s="6">
        <f t="shared" si="63"/>
        <v>96373</v>
      </c>
      <c r="AI59" s="6">
        <v>4604</v>
      </c>
      <c r="AJ59" s="6">
        <f t="shared" si="64"/>
        <v>28459</v>
      </c>
      <c r="AK59" s="6">
        <v>2853</v>
      </c>
      <c r="AL59" s="6">
        <f t="shared" si="65"/>
        <v>52564</v>
      </c>
      <c r="AM59" s="6">
        <v>18141</v>
      </c>
      <c r="AN59" s="6">
        <f t="shared" si="66"/>
        <v>79778</v>
      </c>
      <c r="AO59" s="6">
        <v>9115</v>
      </c>
      <c r="AP59" s="6">
        <f t="shared" si="67"/>
        <v>108656</v>
      </c>
      <c r="AQ59" s="6">
        <v>29823</v>
      </c>
      <c r="AR59" s="6">
        <f t="shared" si="68"/>
        <v>101406</v>
      </c>
      <c r="AS59" s="6">
        <v>12214</v>
      </c>
      <c r="AT59" s="6">
        <f t="shared" si="69"/>
        <v>96590</v>
      </c>
      <c r="AU59" s="6">
        <v>16286</v>
      </c>
      <c r="AV59" s="6">
        <f t="shared" si="70"/>
        <v>50087</v>
      </c>
      <c r="AW59" s="6">
        <v>5952</v>
      </c>
      <c r="AX59" s="6">
        <f t="shared" si="71"/>
        <v>40498</v>
      </c>
    </row>
    <row r="60" spans="1:50" x14ac:dyDescent="0.25">
      <c r="A60" s="4">
        <v>8</v>
      </c>
      <c r="B60" s="11">
        <v>38</v>
      </c>
      <c r="C60" s="4">
        <v>2566</v>
      </c>
      <c r="D60" s="4">
        <f t="shared" si="48"/>
        <v>30417</v>
      </c>
      <c r="E60" s="4">
        <v>1542</v>
      </c>
      <c r="F60" s="4">
        <f t="shared" si="49"/>
        <v>57361</v>
      </c>
      <c r="G60" s="4">
        <v>9039</v>
      </c>
      <c r="H60" s="4">
        <f t="shared" si="50"/>
        <v>65194</v>
      </c>
      <c r="I60" s="4">
        <v>4799</v>
      </c>
      <c r="J60" s="4">
        <f t="shared" si="51"/>
        <v>92866</v>
      </c>
      <c r="K60" s="4">
        <v>2922</v>
      </c>
      <c r="L60" s="4">
        <f t="shared" si="52"/>
        <v>33813</v>
      </c>
      <c r="M60" s="4">
        <v>1701</v>
      </c>
      <c r="N60" s="4">
        <f t="shared" si="53"/>
        <v>62577</v>
      </c>
      <c r="O60" s="4">
        <v>10751</v>
      </c>
      <c r="P60" s="4">
        <f t="shared" si="54"/>
        <v>75385</v>
      </c>
      <c r="Q60" s="4">
        <v>5456</v>
      </c>
      <c r="R60" s="4">
        <f t="shared" si="55"/>
        <v>103757</v>
      </c>
      <c r="S60" s="4">
        <v>19620</v>
      </c>
      <c r="T60" s="4">
        <f t="shared" si="56"/>
        <v>91152</v>
      </c>
      <c r="U60" s="4">
        <v>8417</v>
      </c>
      <c r="V60" s="4">
        <f t="shared" si="57"/>
        <v>83442</v>
      </c>
      <c r="W60" s="4">
        <v>11791</v>
      </c>
      <c r="X60" s="4">
        <f t="shared" si="58"/>
        <v>49580</v>
      </c>
      <c r="Y60" s="4">
        <v>4662</v>
      </c>
      <c r="Z60" s="4">
        <f t="shared" si="59"/>
        <v>42262</v>
      </c>
      <c r="AA60" s="4">
        <v>6068</v>
      </c>
      <c r="AB60" s="4">
        <f t="shared" si="60"/>
        <v>31609</v>
      </c>
      <c r="AC60" s="4">
        <v>3053</v>
      </c>
      <c r="AD60" s="4">
        <f t="shared" si="61"/>
        <v>51050</v>
      </c>
      <c r="AE60" s="4">
        <v>18460</v>
      </c>
      <c r="AF60" s="4">
        <f t="shared" si="62"/>
        <v>87670</v>
      </c>
      <c r="AG60" s="4">
        <v>7653</v>
      </c>
      <c r="AH60" s="4">
        <f t="shared" si="63"/>
        <v>104026</v>
      </c>
      <c r="AI60" s="4">
        <v>6918</v>
      </c>
      <c r="AJ60" s="4">
        <f t="shared" si="64"/>
        <v>35377</v>
      </c>
      <c r="AK60" s="4">
        <v>3400</v>
      </c>
      <c r="AL60" s="4">
        <f t="shared" si="65"/>
        <v>55964</v>
      </c>
      <c r="AM60" s="4">
        <v>21940</v>
      </c>
      <c r="AN60" s="4">
        <f t="shared" si="66"/>
        <v>101718</v>
      </c>
      <c r="AO60" s="4">
        <v>8895</v>
      </c>
      <c r="AP60" s="4">
        <f t="shared" si="67"/>
        <v>117551</v>
      </c>
      <c r="AQ60" s="4">
        <v>33748</v>
      </c>
      <c r="AR60" s="4">
        <f t="shared" si="68"/>
        <v>135154</v>
      </c>
      <c r="AS60" s="4">
        <v>10767</v>
      </c>
      <c r="AT60" s="4">
        <f t="shared" si="69"/>
        <v>107357</v>
      </c>
      <c r="AU60" s="4">
        <v>18726</v>
      </c>
      <c r="AV60" s="4">
        <f t="shared" si="70"/>
        <v>68813</v>
      </c>
      <c r="AW60" s="4">
        <v>5272</v>
      </c>
      <c r="AX60" s="4">
        <f t="shared" si="71"/>
        <v>45770</v>
      </c>
    </row>
    <row r="61" spans="1:50" x14ac:dyDescent="0.25">
      <c r="A61" s="6">
        <v>9</v>
      </c>
      <c r="B61" s="11">
        <v>14</v>
      </c>
      <c r="C61" s="6">
        <v>1589</v>
      </c>
      <c r="D61" s="6">
        <f t="shared" si="48"/>
        <v>32006</v>
      </c>
      <c r="E61" s="6">
        <v>872</v>
      </c>
      <c r="F61" s="6">
        <f t="shared" si="49"/>
        <v>58233</v>
      </c>
      <c r="G61" s="6">
        <v>7758</v>
      </c>
      <c r="H61" s="6">
        <f t="shared" si="50"/>
        <v>72952</v>
      </c>
      <c r="I61" s="6">
        <v>3473</v>
      </c>
      <c r="J61" s="6">
        <f t="shared" si="51"/>
        <v>96339</v>
      </c>
      <c r="K61" s="6">
        <v>1798</v>
      </c>
      <c r="L61" s="6">
        <f t="shared" si="52"/>
        <v>35611</v>
      </c>
      <c r="M61" s="6">
        <v>978</v>
      </c>
      <c r="N61" s="6">
        <f t="shared" si="53"/>
        <v>63555</v>
      </c>
      <c r="O61" s="6">
        <v>9070</v>
      </c>
      <c r="P61" s="6">
        <f t="shared" si="54"/>
        <v>84455</v>
      </c>
      <c r="Q61" s="6">
        <v>3898</v>
      </c>
      <c r="R61" s="6">
        <f t="shared" si="55"/>
        <v>107655</v>
      </c>
      <c r="S61" s="6">
        <v>19191</v>
      </c>
      <c r="T61" s="6">
        <f t="shared" si="56"/>
        <v>110343</v>
      </c>
      <c r="U61" s="6">
        <v>6568</v>
      </c>
      <c r="V61" s="6">
        <f t="shared" si="57"/>
        <v>90010</v>
      </c>
      <c r="W61" s="6">
        <v>11919</v>
      </c>
      <c r="X61" s="6">
        <f t="shared" si="58"/>
        <v>61499</v>
      </c>
      <c r="Y61" s="6">
        <v>3648</v>
      </c>
      <c r="Z61" s="6">
        <f t="shared" si="59"/>
        <v>45910</v>
      </c>
      <c r="AA61" s="6">
        <v>9215</v>
      </c>
      <c r="AB61" s="6">
        <f t="shared" si="60"/>
        <v>40824</v>
      </c>
      <c r="AC61" s="6">
        <v>2842</v>
      </c>
      <c r="AD61" s="6">
        <f t="shared" si="61"/>
        <v>53892</v>
      </c>
      <c r="AE61" s="6">
        <v>31671</v>
      </c>
      <c r="AF61" s="6">
        <f t="shared" si="62"/>
        <v>119341</v>
      </c>
      <c r="AG61" s="6">
        <v>6742</v>
      </c>
      <c r="AH61" s="6">
        <f t="shared" si="63"/>
        <v>110768</v>
      </c>
      <c r="AI61" s="6">
        <v>10543</v>
      </c>
      <c r="AJ61" s="6">
        <f t="shared" si="64"/>
        <v>45920</v>
      </c>
      <c r="AK61" s="6">
        <v>3172</v>
      </c>
      <c r="AL61" s="6">
        <f t="shared" si="65"/>
        <v>59136</v>
      </c>
      <c r="AM61" s="6">
        <v>37590</v>
      </c>
      <c r="AN61" s="6">
        <f t="shared" si="66"/>
        <v>139308</v>
      </c>
      <c r="AO61" s="6">
        <v>7827</v>
      </c>
      <c r="AP61" s="6">
        <f t="shared" si="67"/>
        <v>125378</v>
      </c>
      <c r="AQ61" s="6">
        <v>49069</v>
      </c>
      <c r="AR61" s="6">
        <f t="shared" si="68"/>
        <v>184223</v>
      </c>
      <c r="AS61" s="6">
        <v>8898</v>
      </c>
      <c r="AT61" s="6">
        <f t="shared" si="69"/>
        <v>116255</v>
      </c>
      <c r="AU61" s="6">
        <v>22022</v>
      </c>
      <c r="AV61" s="6">
        <f t="shared" si="70"/>
        <v>90835</v>
      </c>
      <c r="AW61" s="6">
        <v>4243</v>
      </c>
      <c r="AX61" s="6">
        <f t="shared" si="71"/>
        <v>50013</v>
      </c>
    </row>
    <row r="62" spans="1:50" x14ac:dyDescent="0.25">
      <c r="A62" s="4">
        <v>10</v>
      </c>
      <c r="B62" s="11">
        <v>7</v>
      </c>
      <c r="C62" s="4">
        <v>1141</v>
      </c>
      <c r="D62" s="4">
        <f t="shared" si="48"/>
        <v>33147</v>
      </c>
      <c r="E62" s="4">
        <v>841</v>
      </c>
      <c r="F62" s="4">
        <f t="shared" si="49"/>
        <v>59074</v>
      </c>
      <c r="G62" s="4">
        <v>8190</v>
      </c>
      <c r="H62" s="4">
        <f t="shared" si="50"/>
        <v>81142</v>
      </c>
      <c r="I62" s="4">
        <v>2850</v>
      </c>
      <c r="J62" s="4">
        <f t="shared" si="51"/>
        <v>99189</v>
      </c>
      <c r="K62" s="4">
        <v>1297</v>
      </c>
      <c r="L62" s="4">
        <f t="shared" si="52"/>
        <v>36908</v>
      </c>
      <c r="M62" s="4">
        <v>902</v>
      </c>
      <c r="N62" s="4">
        <f t="shared" si="53"/>
        <v>64457</v>
      </c>
      <c r="O62" s="4">
        <v>9439</v>
      </c>
      <c r="P62" s="4">
        <f t="shared" si="54"/>
        <v>93894</v>
      </c>
      <c r="Q62" s="4">
        <v>3151</v>
      </c>
      <c r="R62" s="4">
        <f t="shared" si="55"/>
        <v>110806</v>
      </c>
      <c r="S62" s="4">
        <v>18127</v>
      </c>
      <c r="T62" s="4">
        <f t="shared" si="56"/>
        <v>128470</v>
      </c>
      <c r="U62" s="4">
        <v>4138</v>
      </c>
      <c r="V62" s="4">
        <f t="shared" si="57"/>
        <v>94148</v>
      </c>
      <c r="W62" s="4">
        <v>9985</v>
      </c>
      <c r="X62" s="4">
        <f t="shared" si="58"/>
        <v>71484</v>
      </c>
      <c r="Y62" s="4">
        <v>1889</v>
      </c>
      <c r="Z62" s="4">
        <f t="shared" si="59"/>
        <v>47799</v>
      </c>
      <c r="AA62" s="4">
        <v>15368</v>
      </c>
      <c r="AB62" s="4">
        <f t="shared" si="60"/>
        <v>56192</v>
      </c>
      <c r="AC62" s="4">
        <v>2750</v>
      </c>
      <c r="AD62" s="4">
        <f t="shared" si="61"/>
        <v>56642</v>
      </c>
      <c r="AE62" s="4">
        <v>37876</v>
      </c>
      <c r="AF62" s="4">
        <f t="shared" si="62"/>
        <v>157217</v>
      </c>
      <c r="AG62" s="4">
        <v>5616</v>
      </c>
      <c r="AH62" s="4">
        <f t="shared" si="63"/>
        <v>116384</v>
      </c>
      <c r="AI62" s="4">
        <v>17414</v>
      </c>
      <c r="AJ62" s="4">
        <f t="shared" si="64"/>
        <v>63334</v>
      </c>
      <c r="AK62" s="4">
        <v>2996</v>
      </c>
      <c r="AL62" s="4">
        <f t="shared" si="65"/>
        <v>62132</v>
      </c>
      <c r="AM62" s="4">
        <v>44749</v>
      </c>
      <c r="AN62" s="4">
        <f t="shared" si="66"/>
        <v>184057</v>
      </c>
      <c r="AO62" s="4">
        <v>6329</v>
      </c>
      <c r="AP62" s="4">
        <f t="shared" si="67"/>
        <v>131707</v>
      </c>
      <c r="AQ62" s="4">
        <v>45645</v>
      </c>
      <c r="AR62" s="4">
        <f t="shared" si="68"/>
        <v>229868</v>
      </c>
      <c r="AS62" s="4">
        <v>5598</v>
      </c>
      <c r="AT62" s="4">
        <f t="shared" si="69"/>
        <v>121853</v>
      </c>
      <c r="AU62" s="4">
        <v>18310</v>
      </c>
      <c r="AV62" s="4">
        <f t="shared" si="70"/>
        <v>109145</v>
      </c>
      <c r="AW62" s="4">
        <v>2265</v>
      </c>
      <c r="AX62" s="4">
        <f t="shared" si="71"/>
        <v>52278</v>
      </c>
    </row>
    <row r="63" spans="1:50" x14ac:dyDescent="0.25">
      <c r="A63" s="5" t="s">
        <v>7</v>
      </c>
      <c r="B63" s="5"/>
      <c r="C63" s="5">
        <f>SUM(C53:C62)</f>
        <v>33147</v>
      </c>
      <c r="D63" s="5"/>
      <c r="E63" s="5">
        <f>SUM(E53:E62)</f>
        <v>59074</v>
      </c>
      <c r="F63" s="5"/>
      <c r="G63" s="5">
        <f>SUM(G53:G62)</f>
        <v>81142</v>
      </c>
      <c r="H63" s="5"/>
      <c r="I63" s="5">
        <f>SUM(I53:I62)</f>
        <v>99189</v>
      </c>
      <c r="J63" s="5"/>
      <c r="K63" s="5">
        <f>SUM(K53:K62)</f>
        <v>36908</v>
      </c>
      <c r="L63" s="5"/>
      <c r="M63" s="5">
        <f>SUM(M53:M62)</f>
        <v>64457</v>
      </c>
      <c r="N63" s="5"/>
      <c r="O63" s="5">
        <f>SUM(O53:O62)</f>
        <v>93894</v>
      </c>
      <c r="P63" s="5"/>
      <c r="Q63" s="5">
        <f>SUM(Q53:Q62)</f>
        <v>110806</v>
      </c>
      <c r="R63" s="5"/>
      <c r="S63" s="5">
        <f>SUM(S53:S62)</f>
        <v>128470</v>
      </c>
      <c r="T63" s="5"/>
      <c r="U63" s="5">
        <f>SUM(U53:U62)</f>
        <v>94148</v>
      </c>
      <c r="V63" s="5"/>
      <c r="W63" s="5">
        <f>SUM(W53:W62)</f>
        <v>71484</v>
      </c>
      <c r="X63" s="5"/>
      <c r="Y63" s="5">
        <f>SUM(Y53:Y62)</f>
        <v>47799</v>
      </c>
      <c r="Z63" s="5"/>
      <c r="AA63" s="5">
        <f>SUM(AA53:AA62)</f>
        <v>56192</v>
      </c>
      <c r="AB63" s="5"/>
      <c r="AC63" s="5">
        <f>SUM(AC53:AC62)</f>
        <v>56642</v>
      </c>
      <c r="AD63" s="5"/>
      <c r="AE63" s="5">
        <f>SUM(AE53:AE62)</f>
        <v>157217</v>
      </c>
      <c r="AF63" s="5"/>
      <c r="AG63" s="5">
        <f>SUM(AG53:AG62)</f>
        <v>116384</v>
      </c>
      <c r="AH63" s="5"/>
      <c r="AI63" s="5">
        <f>SUM(AI53:AI62)</f>
        <v>63334</v>
      </c>
      <c r="AJ63" s="5"/>
      <c r="AK63" s="5">
        <f>SUM(AK53:AK62)</f>
        <v>62132</v>
      </c>
      <c r="AL63" s="5"/>
      <c r="AM63" s="5">
        <f>SUM(AM53:AM62)</f>
        <v>184057</v>
      </c>
      <c r="AN63" s="5"/>
      <c r="AO63" s="5">
        <f>SUM(AO53:AO62)</f>
        <v>131707</v>
      </c>
      <c r="AP63" s="5"/>
      <c r="AQ63" s="5">
        <f>SUM(AQ53:AQ62)</f>
        <v>229868</v>
      </c>
      <c r="AR63" s="5"/>
      <c r="AS63" s="5">
        <f>SUM(AS53:AS62)</f>
        <v>121853</v>
      </c>
      <c r="AT63" s="5"/>
      <c r="AU63" s="5">
        <f>SUM(AU53:AU62)</f>
        <v>109145</v>
      </c>
      <c r="AV63" s="5"/>
      <c r="AW63" s="5">
        <f>SUM(AW53:AW62)</f>
        <v>52278</v>
      </c>
      <c r="AX63" s="5"/>
    </row>
    <row r="66" spans="1:50" x14ac:dyDescent="0.25">
      <c r="A66" t="s">
        <v>13</v>
      </c>
    </row>
    <row r="68" spans="1:50" x14ac:dyDescent="0.25">
      <c r="A68" s="3"/>
      <c r="B68" s="3"/>
      <c r="C68" s="7" t="s">
        <v>12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7" t="s">
        <v>14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9"/>
    </row>
    <row r="69" spans="1:50" x14ac:dyDescent="0.25">
      <c r="A69" s="3"/>
      <c r="B69" s="3"/>
      <c r="C69" s="7" t="s">
        <v>1</v>
      </c>
      <c r="D69" s="8"/>
      <c r="E69" s="8"/>
      <c r="F69" s="9"/>
      <c r="G69" s="7" t="s">
        <v>0</v>
      </c>
      <c r="H69" s="8"/>
      <c r="I69" s="8"/>
      <c r="J69" s="9"/>
      <c r="K69" s="7" t="s">
        <v>2</v>
      </c>
      <c r="L69" s="8"/>
      <c r="M69" s="8"/>
      <c r="N69" s="9"/>
      <c r="O69" s="7" t="s">
        <v>3</v>
      </c>
      <c r="P69" s="8"/>
      <c r="Q69" s="8"/>
      <c r="R69" s="9"/>
      <c r="S69" s="7" t="s">
        <v>4</v>
      </c>
      <c r="T69" s="8"/>
      <c r="U69" s="8"/>
      <c r="V69" s="9"/>
      <c r="W69" s="7" t="s">
        <v>5</v>
      </c>
      <c r="X69" s="8"/>
      <c r="Y69" s="8"/>
      <c r="Z69" s="9"/>
      <c r="AA69" s="7" t="s">
        <v>1</v>
      </c>
      <c r="AB69" s="8"/>
      <c r="AC69" s="8"/>
      <c r="AD69" s="9"/>
      <c r="AE69" s="7" t="s">
        <v>0</v>
      </c>
      <c r="AF69" s="8"/>
      <c r="AG69" s="8"/>
      <c r="AH69" s="9"/>
      <c r="AI69" s="7" t="s">
        <v>2</v>
      </c>
      <c r="AJ69" s="8"/>
      <c r="AK69" s="8"/>
      <c r="AL69" s="9"/>
      <c r="AM69" s="7" t="s">
        <v>3</v>
      </c>
      <c r="AN69" s="8"/>
      <c r="AO69" s="8"/>
      <c r="AP69" s="9"/>
      <c r="AQ69" s="7" t="s">
        <v>4</v>
      </c>
      <c r="AR69" s="8"/>
      <c r="AS69" s="8"/>
      <c r="AT69" s="9"/>
      <c r="AU69" s="7" t="s">
        <v>5</v>
      </c>
      <c r="AV69" s="8"/>
      <c r="AW69" s="8"/>
      <c r="AX69" s="9"/>
    </row>
    <row r="70" spans="1:50" x14ac:dyDescent="0.25">
      <c r="A70" s="3" t="s">
        <v>6</v>
      </c>
      <c r="B70" s="3" t="s">
        <v>20</v>
      </c>
      <c r="C70" s="3" t="s">
        <v>18</v>
      </c>
      <c r="D70" s="3" t="s">
        <v>19</v>
      </c>
      <c r="E70" s="3" t="s">
        <v>15</v>
      </c>
      <c r="F70" s="3" t="s">
        <v>19</v>
      </c>
      <c r="G70" s="3" t="s">
        <v>18</v>
      </c>
      <c r="H70" s="3" t="s">
        <v>19</v>
      </c>
      <c r="I70" s="3" t="s">
        <v>15</v>
      </c>
      <c r="J70" s="3" t="s">
        <v>19</v>
      </c>
      <c r="K70" s="3" t="s">
        <v>18</v>
      </c>
      <c r="L70" s="3" t="s">
        <v>19</v>
      </c>
      <c r="M70" s="3" t="s">
        <v>15</v>
      </c>
      <c r="N70" s="3" t="s">
        <v>19</v>
      </c>
      <c r="O70" s="3" t="s">
        <v>18</v>
      </c>
      <c r="P70" s="3" t="s">
        <v>19</v>
      </c>
      <c r="Q70" s="3" t="s">
        <v>15</v>
      </c>
      <c r="R70" s="3" t="s">
        <v>19</v>
      </c>
      <c r="S70" s="3" t="s">
        <v>18</v>
      </c>
      <c r="T70" s="3" t="s">
        <v>19</v>
      </c>
      <c r="U70" s="3" t="s">
        <v>15</v>
      </c>
      <c r="V70" s="3" t="s">
        <v>19</v>
      </c>
      <c r="W70" s="3" t="s">
        <v>18</v>
      </c>
      <c r="X70" s="3" t="s">
        <v>19</v>
      </c>
      <c r="Y70" s="3" t="s">
        <v>15</v>
      </c>
      <c r="Z70" s="3" t="s">
        <v>19</v>
      </c>
      <c r="AA70" s="3" t="s">
        <v>18</v>
      </c>
      <c r="AB70" s="3" t="s">
        <v>19</v>
      </c>
      <c r="AC70" s="3" t="s">
        <v>15</v>
      </c>
      <c r="AD70" s="3" t="s">
        <v>19</v>
      </c>
      <c r="AE70" s="3" t="s">
        <v>18</v>
      </c>
      <c r="AF70" s="3" t="s">
        <v>19</v>
      </c>
      <c r="AG70" s="3" t="s">
        <v>15</v>
      </c>
      <c r="AH70" s="3" t="s">
        <v>19</v>
      </c>
      <c r="AI70" s="3" t="s">
        <v>18</v>
      </c>
      <c r="AJ70" s="3" t="s">
        <v>19</v>
      </c>
      <c r="AK70" s="3" t="s">
        <v>15</v>
      </c>
      <c r="AL70" s="3" t="s">
        <v>19</v>
      </c>
      <c r="AM70" s="3" t="s">
        <v>18</v>
      </c>
      <c r="AN70" s="3" t="s">
        <v>19</v>
      </c>
      <c r="AO70" s="3" t="s">
        <v>15</v>
      </c>
      <c r="AP70" s="3" t="s">
        <v>19</v>
      </c>
      <c r="AQ70" s="3" t="s">
        <v>18</v>
      </c>
      <c r="AR70" s="3" t="s">
        <v>19</v>
      </c>
      <c r="AS70" s="3" t="s">
        <v>15</v>
      </c>
      <c r="AT70" s="3" t="s">
        <v>19</v>
      </c>
      <c r="AU70" s="3" t="s">
        <v>18</v>
      </c>
      <c r="AV70" s="3" t="s">
        <v>19</v>
      </c>
      <c r="AW70" s="3" t="s">
        <v>15</v>
      </c>
      <c r="AX70" s="3" t="s">
        <v>19</v>
      </c>
    </row>
    <row r="71" spans="1:50" x14ac:dyDescent="0.25">
      <c r="A71" s="6">
        <v>1</v>
      </c>
      <c r="B71" s="10">
        <v>653</v>
      </c>
      <c r="C71" s="6">
        <v>3765</v>
      </c>
      <c r="D71" s="6">
        <f>C71</f>
        <v>3765</v>
      </c>
      <c r="E71" s="6">
        <v>23381</v>
      </c>
      <c r="F71" s="6">
        <f>E71</f>
        <v>23381</v>
      </c>
      <c r="G71" s="6">
        <v>4448</v>
      </c>
      <c r="H71" s="6">
        <f>G71</f>
        <v>4448</v>
      </c>
      <c r="I71" s="6">
        <v>26810</v>
      </c>
      <c r="J71" s="6">
        <f>I71</f>
        <v>26810</v>
      </c>
      <c r="K71" s="6">
        <v>4025</v>
      </c>
      <c r="L71" s="6">
        <f>K71</f>
        <v>4025</v>
      </c>
      <c r="M71" s="6">
        <v>24793</v>
      </c>
      <c r="N71" s="6">
        <f>M71</f>
        <v>24793</v>
      </c>
      <c r="O71" s="6">
        <v>4822</v>
      </c>
      <c r="P71" s="6">
        <f>O71</f>
        <v>4822</v>
      </c>
      <c r="Q71" s="6">
        <v>28688</v>
      </c>
      <c r="R71" s="6">
        <f>Q71</f>
        <v>28688</v>
      </c>
      <c r="S71" s="6">
        <v>1455</v>
      </c>
      <c r="T71" s="6">
        <f>S71</f>
        <v>1455</v>
      </c>
      <c r="U71" s="6">
        <v>6883</v>
      </c>
      <c r="V71" s="6">
        <f>U71</f>
        <v>6883</v>
      </c>
      <c r="W71" s="6">
        <v>658</v>
      </c>
      <c r="X71" s="6">
        <f>W71</f>
        <v>658</v>
      </c>
      <c r="Y71" s="6">
        <v>2988</v>
      </c>
      <c r="Z71" s="6">
        <f>Y71</f>
        <v>2988</v>
      </c>
      <c r="AA71" s="6">
        <v>3691</v>
      </c>
      <c r="AB71" s="6">
        <f>AA71</f>
        <v>3691</v>
      </c>
      <c r="AC71" s="6">
        <v>18585</v>
      </c>
      <c r="AD71" s="6">
        <f>AC71</f>
        <v>18585</v>
      </c>
      <c r="AE71" s="6">
        <v>5050</v>
      </c>
      <c r="AF71" s="6">
        <f>AE71</f>
        <v>5050</v>
      </c>
      <c r="AG71" s="6">
        <v>24551</v>
      </c>
      <c r="AH71" s="6">
        <f>AG71</f>
        <v>24551</v>
      </c>
      <c r="AI71" s="6">
        <v>3887</v>
      </c>
      <c r="AJ71" s="6">
        <f>AI71</f>
        <v>3887</v>
      </c>
      <c r="AK71" s="6">
        <v>19801</v>
      </c>
      <c r="AL71" s="6">
        <f>AK71</f>
        <v>19801</v>
      </c>
      <c r="AM71" s="6">
        <v>5359</v>
      </c>
      <c r="AN71" s="6">
        <f>AM71</f>
        <v>5359</v>
      </c>
      <c r="AO71" s="6">
        <v>26674</v>
      </c>
      <c r="AP71" s="6">
        <f>AO71</f>
        <v>26674</v>
      </c>
      <c r="AQ71" s="6">
        <v>2146</v>
      </c>
      <c r="AR71" s="6">
        <f>AQ71</f>
        <v>2146</v>
      </c>
      <c r="AS71" s="6">
        <v>10214</v>
      </c>
      <c r="AT71" s="6">
        <f>AS71</f>
        <v>10214</v>
      </c>
      <c r="AU71" s="6">
        <v>674</v>
      </c>
      <c r="AV71" s="6">
        <f>AU71</f>
        <v>674</v>
      </c>
      <c r="AW71" s="6">
        <v>3341</v>
      </c>
      <c r="AX71" s="6">
        <f>AW71</f>
        <v>3341</v>
      </c>
    </row>
    <row r="72" spans="1:50" x14ac:dyDescent="0.25">
      <c r="A72" s="4">
        <v>2</v>
      </c>
      <c r="B72" s="11">
        <v>446</v>
      </c>
      <c r="C72" s="4">
        <v>2840</v>
      </c>
      <c r="D72" s="4">
        <f>C72+D71</f>
        <v>6605</v>
      </c>
      <c r="E72" s="4">
        <v>5266</v>
      </c>
      <c r="F72" s="4">
        <f>E72+F71</f>
        <v>28647</v>
      </c>
      <c r="G72" s="4">
        <v>4187</v>
      </c>
      <c r="H72" s="4">
        <f>G72+H71</f>
        <v>8635</v>
      </c>
      <c r="I72" s="4">
        <v>8079</v>
      </c>
      <c r="J72" s="4">
        <f>I72+J71</f>
        <v>34889</v>
      </c>
      <c r="K72" s="4">
        <v>3103</v>
      </c>
      <c r="L72" s="4">
        <f>K72+L71</f>
        <v>7128</v>
      </c>
      <c r="M72" s="4">
        <v>5735</v>
      </c>
      <c r="N72" s="4">
        <f>M72+N71</f>
        <v>30528</v>
      </c>
      <c r="O72" s="4">
        <v>4667</v>
      </c>
      <c r="P72" s="4">
        <f>O72+P71</f>
        <v>9489</v>
      </c>
      <c r="Q72" s="4">
        <v>8896</v>
      </c>
      <c r="R72" s="4">
        <f>Q72+R71</f>
        <v>37584</v>
      </c>
      <c r="S72" s="4">
        <v>3347</v>
      </c>
      <c r="T72" s="4">
        <f>S72+T71</f>
        <v>4802</v>
      </c>
      <c r="U72" s="4">
        <v>7607</v>
      </c>
      <c r="V72" s="4">
        <f>U72+V71</f>
        <v>14490</v>
      </c>
      <c r="W72" s="4">
        <v>1783</v>
      </c>
      <c r="X72" s="4">
        <f>W72+X71</f>
        <v>2441</v>
      </c>
      <c r="Y72" s="4">
        <v>4446</v>
      </c>
      <c r="Z72" s="4">
        <f>Y72+Z71</f>
        <v>7434</v>
      </c>
      <c r="AA72" s="4">
        <v>3373</v>
      </c>
      <c r="AB72" s="4">
        <f>AA72+AB71</f>
        <v>7064</v>
      </c>
      <c r="AC72" s="4">
        <v>7577</v>
      </c>
      <c r="AD72" s="4">
        <f>AC72+AD71</f>
        <v>26162</v>
      </c>
      <c r="AE72" s="4">
        <v>6152</v>
      </c>
      <c r="AF72" s="4">
        <f>AE72+AF71</f>
        <v>11202</v>
      </c>
      <c r="AG72" s="4">
        <v>14482</v>
      </c>
      <c r="AH72" s="4">
        <f>AG72+AH71</f>
        <v>39033</v>
      </c>
      <c r="AI72" s="4">
        <v>3629</v>
      </c>
      <c r="AJ72" s="4">
        <f>AI72+AJ71</f>
        <v>7516</v>
      </c>
      <c r="AK72" s="4">
        <v>8284</v>
      </c>
      <c r="AL72" s="4">
        <f>AK72+AL71</f>
        <v>28085</v>
      </c>
      <c r="AM72" s="4">
        <v>6674</v>
      </c>
      <c r="AN72" s="4">
        <f>AM72+AN71</f>
        <v>12033</v>
      </c>
      <c r="AO72" s="4">
        <v>16180</v>
      </c>
      <c r="AP72" s="4">
        <f>AO72+AP71</f>
        <v>42854</v>
      </c>
      <c r="AQ72" s="4">
        <v>5088</v>
      </c>
      <c r="AR72" s="4">
        <f>AQ72+AR71</f>
        <v>7234</v>
      </c>
      <c r="AS72" s="4">
        <v>12916</v>
      </c>
      <c r="AT72" s="4">
        <f>AS72+AT71</f>
        <v>23130</v>
      </c>
      <c r="AU72" s="4">
        <v>2043</v>
      </c>
      <c r="AV72" s="4">
        <f>AU72+AV71</f>
        <v>2717</v>
      </c>
      <c r="AW72" s="4">
        <v>5020</v>
      </c>
      <c r="AX72" s="4">
        <f>AW72+AX71</f>
        <v>8361</v>
      </c>
    </row>
    <row r="73" spans="1:50" x14ac:dyDescent="0.25">
      <c r="A73" s="6">
        <v>3</v>
      </c>
      <c r="B73" s="11">
        <v>315</v>
      </c>
      <c r="C73" s="6">
        <v>2605</v>
      </c>
      <c r="D73" s="6">
        <f t="shared" ref="D73:D80" si="72">C73+D72</f>
        <v>9210</v>
      </c>
      <c r="E73" s="6">
        <v>3404</v>
      </c>
      <c r="F73" s="6">
        <f t="shared" ref="F73:F80" si="73">E73+F72</f>
        <v>32051</v>
      </c>
      <c r="G73" s="6">
        <v>4800</v>
      </c>
      <c r="H73" s="6">
        <f t="shared" ref="H73:H80" si="74">G73+H72</f>
        <v>13435</v>
      </c>
      <c r="I73" s="6">
        <v>6876</v>
      </c>
      <c r="J73" s="6">
        <f t="shared" ref="J73:J80" si="75">I73+J72</f>
        <v>41765</v>
      </c>
      <c r="K73" s="6">
        <v>2885</v>
      </c>
      <c r="L73" s="6">
        <f t="shared" ref="L73:L80" si="76">K73+L72</f>
        <v>10013</v>
      </c>
      <c r="M73" s="6">
        <v>3715</v>
      </c>
      <c r="N73" s="6">
        <f t="shared" ref="N73:N80" si="77">M73+N72</f>
        <v>34243</v>
      </c>
      <c r="O73" s="6">
        <v>5412</v>
      </c>
      <c r="P73" s="6">
        <f t="shared" ref="P73:P80" si="78">O73+P72</f>
        <v>14901</v>
      </c>
      <c r="Q73" s="6">
        <v>7605</v>
      </c>
      <c r="R73" s="6">
        <f t="shared" ref="R73:R80" si="79">Q73+R72</f>
        <v>45189</v>
      </c>
      <c r="S73" s="6">
        <v>5654</v>
      </c>
      <c r="T73" s="6">
        <f t="shared" ref="T73:T80" si="80">S73+T72</f>
        <v>10456</v>
      </c>
      <c r="U73" s="6">
        <v>9563</v>
      </c>
      <c r="V73" s="6">
        <f t="shared" ref="V73:V80" si="81">U73+V72</f>
        <v>24053</v>
      </c>
      <c r="W73" s="6">
        <v>3127</v>
      </c>
      <c r="X73" s="6">
        <f t="shared" ref="X73:X80" si="82">W73+X72</f>
        <v>5568</v>
      </c>
      <c r="Y73" s="6">
        <v>5673</v>
      </c>
      <c r="Z73" s="6">
        <f t="shared" ref="Z73:Z80" si="83">Y73+Z72</f>
        <v>13107</v>
      </c>
      <c r="AA73" s="6">
        <v>2163</v>
      </c>
      <c r="AB73" s="6">
        <f t="shared" ref="AB73:AB80" si="84">AA73+AB72</f>
        <v>9227</v>
      </c>
      <c r="AC73" s="6">
        <v>4399</v>
      </c>
      <c r="AD73" s="6">
        <f t="shared" ref="AD73:AD80" si="85">AC73+AD72</f>
        <v>30561</v>
      </c>
      <c r="AE73" s="6">
        <v>5299</v>
      </c>
      <c r="AF73" s="6">
        <f t="shared" ref="AF73:AF80" si="86">AE73+AF72</f>
        <v>16501</v>
      </c>
      <c r="AG73" s="6">
        <v>11330</v>
      </c>
      <c r="AH73" s="6">
        <f t="shared" ref="AH73:AH80" si="87">AG73+AH72</f>
        <v>50363</v>
      </c>
      <c r="AI73" s="6">
        <v>2368</v>
      </c>
      <c r="AJ73" s="6">
        <f t="shared" ref="AJ73:AJ80" si="88">AI73+AJ72</f>
        <v>9884</v>
      </c>
      <c r="AK73" s="6">
        <v>4873</v>
      </c>
      <c r="AL73" s="6">
        <f t="shared" ref="AL73:AL80" si="89">AK73+AL72</f>
        <v>32958</v>
      </c>
      <c r="AM73" s="6">
        <v>5836</v>
      </c>
      <c r="AN73" s="6">
        <f t="shared" ref="AN73:AN80" si="90">AM73+AN72</f>
        <v>17869</v>
      </c>
      <c r="AO73" s="6">
        <v>12736</v>
      </c>
      <c r="AP73" s="6">
        <f t="shared" ref="AP73:AP80" si="91">AO73+AP72</f>
        <v>55590</v>
      </c>
      <c r="AQ73" s="6">
        <v>7422</v>
      </c>
      <c r="AR73" s="6">
        <f t="shared" ref="AR73:AR80" si="92">AQ73+AR72</f>
        <v>14656</v>
      </c>
      <c r="AS73" s="6">
        <v>13992</v>
      </c>
      <c r="AT73" s="6">
        <f t="shared" ref="AT73:AT80" si="93">AS73+AT72</f>
        <v>37122</v>
      </c>
      <c r="AU73" s="6">
        <v>3954</v>
      </c>
      <c r="AV73" s="6">
        <f t="shared" ref="AV73:AV80" si="94">AU73+AV72</f>
        <v>6671</v>
      </c>
      <c r="AW73" s="6">
        <v>6129</v>
      </c>
      <c r="AX73" s="6">
        <f t="shared" ref="AX73:AX80" si="95">AW73+AX72</f>
        <v>14490</v>
      </c>
    </row>
    <row r="74" spans="1:50" x14ac:dyDescent="0.25">
      <c r="A74" s="4">
        <v>4</v>
      </c>
      <c r="B74" s="11">
        <v>189</v>
      </c>
      <c r="C74" s="4">
        <v>2140</v>
      </c>
      <c r="D74" s="4">
        <f t="shared" si="72"/>
        <v>11350</v>
      </c>
      <c r="E74" s="4">
        <v>2323</v>
      </c>
      <c r="F74" s="4">
        <f t="shared" si="73"/>
        <v>34374</v>
      </c>
      <c r="G74" s="4">
        <v>4844</v>
      </c>
      <c r="H74" s="4">
        <f t="shared" si="74"/>
        <v>18279</v>
      </c>
      <c r="I74" s="4">
        <v>5519</v>
      </c>
      <c r="J74" s="4">
        <f t="shared" si="75"/>
        <v>47284</v>
      </c>
      <c r="K74" s="4">
        <v>2400</v>
      </c>
      <c r="L74" s="4">
        <f t="shared" si="76"/>
        <v>12413</v>
      </c>
      <c r="M74" s="4">
        <v>2517</v>
      </c>
      <c r="N74" s="4">
        <f t="shared" si="77"/>
        <v>36760</v>
      </c>
      <c r="O74" s="4">
        <v>5540</v>
      </c>
      <c r="P74" s="4">
        <f t="shared" si="78"/>
        <v>20441</v>
      </c>
      <c r="Q74" s="4">
        <v>6097</v>
      </c>
      <c r="R74" s="4">
        <f t="shared" si="79"/>
        <v>51286</v>
      </c>
      <c r="S74" s="4">
        <v>7926</v>
      </c>
      <c r="T74" s="4">
        <f t="shared" si="80"/>
        <v>18382</v>
      </c>
      <c r="U74" s="4">
        <v>9721</v>
      </c>
      <c r="V74" s="4">
        <f t="shared" si="81"/>
        <v>33774</v>
      </c>
      <c r="W74" s="4">
        <v>4786</v>
      </c>
      <c r="X74" s="4">
        <f t="shared" si="82"/>
        <v>10354</v>
      </c>
      <c r="Y74" s="4">
        <v>6141</v>
      </c>
      <c r="Z74" s="4">
        <f t="shared" si="83"/>
        <v>19248</v>
      </c>
      <c r="AA74" s="4">
        <v>1513</v>
      </c>
      <c r="AB74" s="4">
        <f t="shared" si="84"/>
        <v>10740</v>
      </c>
      <c r="AC74" s="4">
        <v>3195</v>
      </c>
      <c r="AD74" s="4">
        <f t="shared" si="85"/>
        <v>33756</v>
      </c>
      <c r="AE74" s="4">
        <v>5085</v>
      </c>
      <c r="AF74" s="4">
        <f t="shared" si="86"/>
        <v>21586</v>
      </c>
      <c r="AG74" s="4">
        <v>9284</v>
      </c>
      <c r="AH74" s="4">
        <f t="shared" si="87"/>
        <v>59647</v>
      </c>
      <c r="AI74" s="4">
        <v>1672</v>
      </c>
      <c r="AJ74" s="4">
        <f t="shared" si="88"/>
        <v>11556</v>
      </c>
      <c r="AK74" s="4">
        <v>3612</v>
      </c>
      <c r="AL74" s="4">
        <f t="shared" si="89"/>
        <v>36570</v>
      </c>
      <c r="AM74" s="4">
        <v>5694</v>
      </c>
      <c r="AN74" s="4">
        <f t="shared" si="90"/>
        <v>23563</v>
      </c>
      <c r="AO74" s="4">
        <v>10673</v>
      </c>
      <c r="AP74" s="4">
        <f t="shared" si="91"/>
        <v>66263</v>
      </c>
      <c r="AQ74" s="4">
        <v>10068</v>
      </c>
      <c r="AR74" s="4">
        <f t="shared" si="92"/>
        <v>24724</v>
      </c>
      <c r="AS74" s="4">
        <v>13813</v>
      </c>
      <c r="AT74" s="4">
        <f t="shared" si="93"/>
        <v>50935</v>
      </c>
      <c r="AU74" s="4">
        <v>6046</v>
      </c>
      <c r="AV74" s="4">
        <f t="shared" si="94"/>
        <v>12717</v>
      </c>
      <c r="AW74" s="4">
        <v>6752</v>
      </c>
      <c r="AX74" s="4">
        <f t="shared" si="95"/>
        <v>21242</v>
      </c>
    </row>
    <row r="75" spans="1:50" x14ac:dyDescent="0.25">
      <c r="A75" s="6">
        <v>5</v>
      </c>
      <c r="B75" s="11">
        <v>121</v>
      </c>
      <c r="C75" s="6">
        <v>1535</v>
      </c>
      <c r="D75" s="6">
        <f t="shared" si="72"/>
        <v>12885</v>
      </c>
      <c r="E75" s="6">
        <v>2231</v>
      </c>
      <c r="F75" s="6">
        <f t="shared" si="73"/>
        <v>36605</v>
      </c>
      <c r="G75" s="6">
        <v>4138</v>
      </c>
      <c r="H75" s="6">
        <f t="shared" si="74"/>
        <v>22417</v>
      </c>
      <c r="I75" s="6">
        <v>5745</v>
      </c>
      <c r="J75" s="6">
        <f t="shared" si="75"/>
        <v>53029</v>
      </c>
      <c r="K75" s="6">
        <v>1763</v>
      </c>
      <c r="L75" s="6">
        <f t="shared" si="76"/>
        <v>14176</v>
      </c>
      <c r="M75" s="6">
        <v>2476</v>
      </c>
      <c r="N75" s="6">
        <f t="shared" si="77"/>
        <v>39236</v>
      </c>
      <c r="O75" s="6">
        <v>4810</v>
      </c>
      <c r="P75" s="6">
        <f t="shared" si="78"/>
        <v>25251</v>
      </c>
      <c r="Q75" s="6">
        <v>6533</v>
      </c>
      <c r="R75" s="6">
        <f t="shared" si="79"/>
        <v>57819</v>
      </c>
      <c r="S75" s="6">
        <v>9479</v>
      </c>
      <c r="T75" s="6">
        <f t="shared" si="80"/>
        <v>27861</v>
      </c>
      <c r="U75" s="6">
        <v>10400</v>
      </c>
      <c r="V75" s="6">
        <f t="shared" si="81"/>
        <v>44174</v>
      </c>
      <c r="W75" s="6">
        <v>6432</v>
      </c>
      <c r="X75" s="6">
        <f t="shared" si="82"/>
        <v>16786</v>
      </c>
      <c r="Y75" s="6">
        <v>6343</v>
      </c>
      <c r="Z75" s="6">
        <f t="shared" si="83"/>
        <v>25591</v>
      </c>
      <c r="AA75" s="6">
        <v>1857</v>
      </c>
      <c r="AB75" s="6">
        <f t="shared" si="84"/>
        <v>12597</v>
      </c>
      <c r="AC75" s="6">
        <v>1360</v>
      </c>
      <c r="AD75" s="6">
        <f t="shared" si="85"/>
        <v>35116</v>
      </c>
      <c r="AE75" s="6">
        <v>6935</v>
      </c>
      <c r="AF75" s="6">
        <f t="shared" si="86"/>
        <v>28521</v>
      </c>
      <c r="AG75" s="6">
        <v>4888</v>
      </c>
      <c r="AH75" s="6">
        <f t="shared" si="87"/>
        <v>64535</v>
      </c>
      <c r="AI75" s="6">
        <v>2077</v>
      </c>
      <c r="AJ75" s="6">
        <f t="shared" si="88"/>
        <v>13633</v>
      </c>
      <c r="AK75" s="6">
        <v>1527</v>
      </c>
      <c r="AL75" s="6">
        <f t="shared" si="89"/>
        <v>38097</v>
      </c>
      <c r="AM75" s="6">
        <v>7893</v>
      </c>
      <c r="AN75" s="6">
        <f t="shared" si="90"/>
        <v>31456</v>
      </c>
      <c r="AO75" s="6">
        <v>5520</v>
      </c>
      <c r="AP75" s="6">
        <f t="shared" si="91"/>
        <v>71783</v>
      </c>
      <c r="AQ75" s="6">
        <v>14178</v>
      </c>
      <c r="AR75" s="6">
        <f t="shared" si="92"/>
        <v>38902</v>
      </c>
      <c r="AS75" s="6">
        <v>10375</v>
      </c>
      <c r="AT75" s="6">
        <f t="shared" si="93"/>
        <v>61310</v>
      </c>
      <c r="AU75" s="6">
        <v>8362</v>
      </c>
      <c r="AV75" s="6">
        <f t="shared" si="94"/>
        <v>21079</v>
      </c>
      <c r="AW75" s="6">
        <v>6382</v>
      </c>
      <c r="AX75" s="6">
        <f t="shared" si="95"/>
        <v>27624</v>
      </c>
    </row>
    <row r="76" spans="1:50" x14ac:dyDescent="0.25">
      <c r="A76" s="4">
        <v>6</v>
      </c>
      <c r="B76" s="11">
        <v>95</v>
      </c>
      <c r="C76" s="4">
        <v>2736</v>
      </c>
      <c r="D76" s="4">
        <f t="shared" si="72"/>
        <v>15621</v>
      </c>
      <c r="E76" s="4">
        <v>1887</v>
      </c>
      <c r="F76" s="4">
        <f t="shared" si="73"/>
        <v>38492</v>
      </c>
      <c r="G76" s="4">
        <v>7653</v>
      </c>
      <c r="H76" s="4">
        <f t="shared" si="74"/>
        <v>30070</v>
      </c>
      <c r="I76" s="4">
        <v>5326</v>
      </c>
      <c r="J76" s="4">
        <f t="shared" si="75"/>
        <v>58355</v>
      </c>
      <c r="K76" s="4">
        <v>3078</v>
      </c>
      <c r="L76" s="4">
        <f t="shared" si="76"/>
        <v>17254</v>
      </c>
      <c r="M76" s="4">
        <v>2134</v>
      </c>
      <c r="N76" s="4">
        <f t="shared" si="77"/>
        <v>41370</v>
      </c>
      <c r="O76" s="4">
        <v>8990</v>
      </c>
      <c r="P76" s="4">
        <f t="shared" si="78"/>
        <v>34241</v>
      </c>
      <c r="Q76" s="4">
        <v>6135</v>
      </c>
      <c r="R76" s="4">
        <f t="shared" si="79"/>
        <v>63954</v>
      </c>
      <c r="S76" s="4">
        <v>14913</v>
      </c>
      <c r="T76" s="4">
        <f t="shared" si="80"/>
        <v>42774</v>
      </c>
      <c r="U76" s="4">
        <v>9825</v>
      </c>
      <c r="V76" s="4">
        <f t="shared" si="81"/>
        <v>53999</v>
      </c>
      <c r="W76" s="4">
        <v>9001</v>
      </c>
      <c r="X76" s="4">
        <f t="shared" si="82"/>
        <v>25787</v>
      </c>
      <c r="Y76" s="4">
        <v>5824</v>
      </c>
      <c r="Z76" s="4">
        <f t="shared" si="83"/>
        <v>31415</v>
      </c>
      <c r="AA76" s="4">
        <v>2856</v>
      </c>
      <c r="AB76" s="4">
        <f t="shared" si="84"/>
        <v>15453</v>
      </c>
      <c r="AC76" s="4">
        <v>1222</v>
      </c>
      <c r="AD76" s="4">
        <f t="shared" si="85"/>
        <v>36338</v>
      </c>
      <c r="AE76" s="4">
        <v>10741</v>
      </c>
      <c r="AF76" s="4">
        <f t="shared" si="86"/>
        <v>39262</v>
      </c>
      <c r="AG76" s="4">
        <v>4557</v>
      </c>
      <c r="AH76" s="4">
        <f t="shared" si="87"/>
        <v>69092</v>
      </c>
      <c r="AI76" s="4">
        <v>3264</v>
      </c>
      <c r="AJ76" s="4">
        <f t="shared" si="88"/>
        <v>16897</v>
      </c>
      <c r="AK76" s="4">
        <v>1356</v>
      </c>
      <c r="AL76" s="4">
        <f t="shared" si="89"/>
        <v>39453</v>
      </c>
      <c r="AM76" s="4">
        <v>12701</v>
      </c>
      <c r="AN76" s="4">
        <f t="shared" si="90"/>
        <v>44157</v>
      </c>
      <c r="AO76" s="4">
        <v>5077</v>
      </c>
      <c r="AP76" s="4">
        <f t="shared" si="91"/>
        <v>76860</v>
      </c>
      <c r="AQ76" s="4">
        <v>21703</v>
      </c>
      <c r="AR76" s="4">
        <f t="shared" si="92"/>
        <v>60605</v>
      </c>
      <c r="AS76" s="4">
        <v>9762</v>
      </c>
      <c r="AT76" s="4">
        <f t="shared" si="93"/>
        <v>71072</v>
      </c>
      <c r="AU76" s="4">
        <v>12266</v>
      </c>
      <c r="AV76" s="4">
        <f t="shared" si="94"/>
        <v>33345</v>
      </c>
      <c r="AW76" s="4">
        <v>6041</v>
      </c>
      <c r="AX76" s="4">
        <f t="shared" si="95"/>
        <v>33665</v>
      </c>
    </row>
    <row r="77" spans="1:50" x14ac:dyDescent="0.25">
      <c r="A77" s="6">
        <v>7</v>
      </c>
      <c r="B77" s="11">
        <v>67</v>
      </c>
      <c r="C77" s="6">
        <v>3003</v>
      </c>
      <c r="D77" s="6">
        <f t="shared" si="72"/>
        <v>18624</v>
      </c>
      <c r="E77" s="6">
        <v>1810</v>
      </c>
      <c r="F77" s="6">
        <f t="shared" si="73"/>
        <v>40302</v>
      </c>
      <c r="G77" s="6">
        <v>10248</v>
      </c>
      <c r="H77" s="6">
        <f t="shared" si="74"/>
        <v>40318</v>
      </c>
      <c r="I77" s="6">
        <v>5480</v>
      </c>
      <c r="J77" s="6">
        <f t="shared" si="75"/>
        <v>63835</v>
      </c>
      <c r="K77" s="6">
        <v>3461</v>
      </c>
      <c r="L77" s="6">
        <f t="shared" si="76"/>
        <v>20715</v>
      </c>
      <c r="M77" s="6">
        <v>1997</v>
      </c>
      <c r="N77" s="6">
        <f t="shared" si="77"/>
        <v>43367</v>
      </c>
      <c r="O77" s="6">
        <v>12149</v>
      </c>
      <c r="P77" s="6">
        <f t="shared" si="78"/>
        <v>46390</v>
      </c>
      <c r="Q77" s="6">
        <v>6215</v>
      </c>
      <c r="R77" s="6">
        <f t="shared" si="79"/>
        <v>70169</v>
      </c>
      <c r="S77" s="6">
        <v>20293</v>
      </c>
      <c r="T77" s="6">
        <f t="shared" si="80"/>
        <v>63067</v>
      </c>
      <c r="U77" s="6">
        <v>9567</v>
      </c>
      <c r="V77" s="6">
        <f t="shared" si="81"/>
        <v>63566</v>
      </c>
      <c r="W77" s="6">
        <v>11605</v>
      </c>
      <c r="X77" s="6">
        <f t="shared" si="82"/>
        <v>37392</v>
      </c>
      <c r="Y77" s="6">
        <v>5349</v>
      </c>
      <c r="Z77" s="6">
        <f t="shared" si="83"/>
        <v>36764</v>
      </c>
      <c r="AA77" s="6">
        <v>3956</v>
      </c>
      <c r="AB77" s="6">
        <f t="shared" si="84"/>
        <v>19409</v>
      </c>
      <c r="AC77" s="6">
        <v>2500</v>
      </c>
      <c r="AD77" s="6">
        <f t="shared" si="85"/>
        <v>38838</v>
      </c>
      <c r="AE77" s="6">
        <v>15313</v>
      </c>
      <c r="AF77" s="6">
        <f t="shared" si="86"/>
        <v>54575</v>
      </c>
      <c r="AG77" s="6">
        <v>7804</v>
      </c>
      <c r="AH77" s="6">
        <f t="shared" si="87"/>
        <v>76896</v>
      </c>
      <c r="AI77" s="6">
        <v>4568</v>
      </c>
      <c r="AJ77" s="6">
        <f t="shared" si="88"/>
        <v>21465</v>
      </c>
      <c r="AK77" s="6">
        <v>2791</v>
      </c>
      <c r="AL77" s="6">
        <f t="shared" si="89"/>
        <v>42244</v>
      </c>
      <c r="AM77" s="6">
        <v>18087</v>
      </c>
      <c r="AN77" s="6">
        <f t="shared" si="90"/>
        <v>62244</v>
      </c>
      <c r="AO77" s="6">
        <v>9003</v>
      </c>
      <c r="AP77" s="6">
        <f t="shared" si="91"/>
        <v>85863</v>
      </c>
      <c r="AQ77" s="6">
        <v>29804</v>
      </c>
      <c r="AR77" s="6">
        <f t="shared" si="92"/>
        <v>90409</v>
      </c>
      <c r="AS77" s="6">
        <v>12162</v>
      </c>
      <c r="AT77" s="6">
        <f t="shared" si="93"/>
        <v>83234</v>
      </c>
      <c r="AU77" s="6">
        <v>16285</v>
      </c>
      <c r="AV77" s="6">
        <f t="shared" si="94"/>
        <v>49630</v>
      </c>
      <c r="AW77" s="6">
        <v>5950</v>
      </c>
      <c r="AX77" s="6">
        <f t="shared" si="95"/>
        <v>39615</v>
      </c>
    </row>
    <row r="78" spans="1:50" x14ac:dyDescent="0.25">
      <c r="A78" s="4">
        <v>8</v>
      </c>
      <c r="B78" s="11">
        <v>38</v>
      </c>
      <c r="C78" s="4">
        <v>2562</v>
      </c>
      <c r="D78" s="4">
        <f t="shared" si="72"/>
        <v>21186</v>
      </c>
      <c r="E78" s="4">
        <v>1529</v>
      </c>
      <c r="F78" s="4">
        <f t="shared" si="73"/>
        <v>41831</v>
      </c>
      <c r="G78" s="4">
        <v>9032</v>
      </c>
      <c r="H78" s="4">
        <f t="shared" si="74"/>
        <v>49350</v>
      </c>
      <c r="I78" s="4">
        <v>4784</v>
      </c>
      <c r="J78" s="4">
        <f t="shared" si="75"/>
        <v>68619</v>
      </c>
      <c r="K78" s="4">
        <v>2918</v>
      </c>
      <c r="L78" s="4">
        <f t="shared" si="76"/>
        <v>23633</v>
      </c>
      <c r="M78" s="4">
        <v>1688</v>
      </c>
      <c r="N78" s="4">
        <f t="shared" si="77"/>
        <v>45055</v>
      </c>
      <c r="O78" s="4">
        <v>10744</v>
      </c>
      <c r="P78" s="4">
        <f t="shared" si="78"/>
        <v>57134</v>
      </c>
      <c r="Q78" s="4">
        <v>5441</v>
      </c>
      <c r="R78" s="4">
        <f t="shared" si="79"/>
        <v>75610</v>
      </c>
      <c r="S78" s="4">
        <v>19617</v>
      </c>
      <c r="T78" s="4">
        <f t="shared" si="80"/>
        <v>82684</v>
      </c>
      <c r="U78" s="4">
        <v>8415</v>
      </c>
      <c r="V78" s="4">
        <f t="shared" si="81"/>
        <v>71981</v>
      </c>
      <c r="W78" s="4">
        <v>11791</v>
      </c>
      <c r="X78" s="4">
        <f t="shared" si="82"/>
        <v>49183</v>
      </c>
      <c r="Y78" s="4">
        <v>4662</v>
      </c>
      <c r="Z78" s="4">
        <f t="shared" si="83"/>
        <v>41426</v>
      </c>
      <c r="AA78" s="4">
        <v>6063</v>
      </c>
      <c r="AB78" s="4">
        <f t="shared" si="84"/>
        <v>25472</v>
      </c>
      <c r="AC78" s="4">
        <v>3036</v>
      </c>
      <c r="AD78" s="4">
        <f t="shared" si="85"/>
        <v>41874</v>
      </c>
      <c r="AE78" s="4">
        <v>18452</v>
      </c>
      <c r="AF78" s="4">
        <f t="shared" si="86"/>
        <v>73027</v>
      </c>
      <c r="AG78" s="4">
        <v>7630</v>
      </c>
      <c r="AH78" s="4">
        <f t="shared" si="87"/>
        <v>84526</v>
      </c>
      <c r="AI78" s="4">
        <v>6913</v>
      </c>
      <c r="AJ78" s="4">
        <f t="shared" si="88"/>
        <v>28378</v>
      </c>
      <c r="AK78" s="4">
        <v>3383</v>
      </c>
      <c r="AL78" s="4">
        <f t="shared" si="89"/>
        <v>45627</v>
      </c>
      <c r="AM78" s="4">
        <v>21932</v>
      </c>
      <c r="AN78" s="4">
        <f t="shared" si="90"/>
        <v>84176</v>
      </c>
      <c r="AO78" s="4">
        <v>8872</v>
      </c>
      <c r="AP78" s="4">
        <f t="shared" si="91"/>
        <v>94735</v>
      </c>
      <c r="AQ78" s="4">
        <v>33745</v>
      </c>
      <c r="AR78" s="4">
        <f t="shared" si="92"/>
        <v>124154</v>
      </c>
      <c r="AS78" s="4">
        <v>10760</v>
      </c>
      <c r="AT78" s="4">
        <f t="shared" si="93"/>
        <v>93994</v>
      </c>
      <c r="AU78" s="4">
        <v>18726</v>
      </c>
      <c r="AV78" s="4">
        <f t="shared" si="94"/>
        <v>68356</v>
      </c>
      <c r="AW78" s="4">
        <v>5271</v>
      </c>
      <c r="AX78" s="4">
        <f t="shared" si="95"/>
        <v>44886</v>
      </c>
    </row>
    <row r="79" spans="1:50" x14ac:dyDescent="0.25">
      <c r="A79" s="6">
        <v>9</v>
      </c>
      <c r="B79" s="11">
        <v>14</v>
      </c>
      <c r="C79" s="6">
        <v>1588</v>
      </c>
      <c r="D79" s="6">
        <f t="shared" si="72"/>
        <v>22774</v>
      </c>
      <c r="E79" s="6">
        <v>864</v>
      </c>
      <c r="F79" s="6">
        <f t="shared" si="73"/>
        <v>42695</v>
      </c>
      <c r="G79" s="6">
        <v>7757</v>
      </c>
      <c r="H79" s="6">
        <f t="shared" si="74"/>
        <v>57107</v>
      </c>
      <c r="I79" s="6">
        <v>3465</v>
      </c>
      <c r="J79" s="6">
        <f t="shared" si="75"/>
        <v>72084</v>
      </c>
      <c r="K79" s="6">
        <v>1797</v>
      </c>
      <c r="L79" s="6">
        <f t="shared" si="76"/>
        <v>25430</v>
      </c>
      <c r="M79" s="6">
        <v>969</v>
      </c>
      <c r="N79" s="6">
        <f t="shared" si="77"/>
        <v>46024</v>
      </c>
      <c r="O79" s="6">
        <v>9069</v>
      </c>
      <c r="P79" s="6">
        <f t="shared" si="78"/>
        <v>66203</v>
      </c>
      <c r="Q79" s="6">
        <v>3889</v>
      </c>
      <c r="R79" s="6">
        <f t="shared" si="79"/>
        <v>79499</v>
      </c>
      <c r="S79" s="6">
        <v>19191</v>
      </c>
      <c r="T79" s="6">
        <f t="shared" si="80"/>
        <v>101875</v>
      </c>
      <c r="U79" s="6">
        <v>6568</v>
      </c>
      <c r="V79" s="6">
        <f t="shared" si="81"/>
        <v>78549</v>
      </c>
      <c r="W79" s="6">
        <v>11919</v>
      </c>
      <c r="X79" s="6">
        <f t="shared" si="82"/>
        <v>61102</v>
      </c>
      <c r="Y79" s="6">
        <v>3648</v>
      </c>
      <c r="Z79" s="6">
        <f t="shared" si="83"/>
        <v>45074</v>
      </c>
      <c r="AA79" s="6">
        <v>9215</v>
      </c>
      <c r="AB79" s="6">
        <f t="shared" si="84"/>
        <v>34687</v>
      </c>
      <c r="AC79" s="6">
        <v>2835</v>
      </c>
      <c r="AD79" s="6">
        <f t="shared" si="85"/>
        <v>44709</v>
      </c>
      <c r="AE79" s="6">
        <v>31671</v>
      </c>
      <c r="AF79" s="6">
        <f t="shared" si="86"/>
        <v>104698</v>
      </c>
      <c r="AG79" s="6">
        <v>6735</v>
      </c>
      <c r="AH79" s="6">
        <f t="shared" si="87"/>
        <v>91261</v>
      </c>
      <c r="AI79" s="6">
        <v>10543</v>
      </c>
      <c r="AJ79" s="6">
        <f t="shared" si="88"/>
        <v>38921</v>
      </c>
      <c r="AK79" s="6">
        <v>3165</v>
      </c>
      <c r="AL79" s="6">
        <f t="shared" si="89"/>
        <v>48792</v>
      </c>
      <c r="AM79" s="6">
        <v>37590</v>
      </c>
      <c r="AN79" s="6">
        <f t="shared" si="90"/>
        <v>121766</v>
      </c>
      <c r="AO79" s="6">
        <v>7820</v>
      </c>
      <c r="AP79" s="6">
        <f t="shared" si="91"/>
        <v>102555</v>
      </c>
      <c r="AQ79" s="6">
        <v>49069</v>
      </c>
      <c r="AR79" s="6">
        <f t="shared" si="92"/>
        <v>173223</v>
      </c>
      <c r="AS79" s="6">
        <v>8898</v>
      </c>
      <c r="AT79" s="6">
        <f t="shared" si="93"/>
        <v>102892</v>
      </c>
      <c r="AU79" s="6">
        <v>22022</v>
      </c>
      <c r="AV79" s="6">
        <f t="shared" si="94"/>
        <v>90378</v>
      </c>
      <c r="AW79" s="6">
        <v>4243</v>
      </c>
      <c r="AX79" s="6">
        <f t="shared" si="95"/>
        <v>49129</v>
      </c>
    </row>
    <row r="80" spans="1:50" x14ac:dyDescent="0.25">
      <c r="A80" s="4">
        <v>10</v>
      </c>
      <c r="B80" s="11">
        <v>7</v>
      </c>
      <c r="C80" s="4">
        <v>1140</v>
      </c>
      <c r="D80" s="4">
        <f t="shared" si="72"/>
        <v>23914</v>
      </c>
      <c r="E80" s="4">
        <v>833</v>
      </c>
      <c r="F80" s="4">
        <f t="shared" si="73"/>
        <v>43528</v>
      </c>
      <c r="G80" s="4">
        <v>8189</v>
      </c>
      <c r="H80" s="4">
        <f t="shared" si="74"/>
        <v>65296</v>
      </c>
      <c r="I80" s="4">
        <v>2842</v>
      </c>
      <c r="J80" s="4">
        <f t="shared" si="75"/>
        <v>74926</v>
      </c>
      <c r="K80" s="4">
        <v>1296</v>
      </c>
      <c r="L80" s="4">
        <f t="shared" si="76"/>
        <v>26726</v>
      </c>
      <c r="M80" s="4">
        <v>894</v>
      </c>
      <c r="N80" s="4">
        <f t="shared" si="77"/>
        <v>46918</v>
      </c>
      <c r="O80" s="4">
        <v>9438</v>
      </c>
      <c r="P80" s="4">
        <f t="shared" si="78"/>
        <v>75641</v>
      </c>
      <c r="Q80" s="4">
        <v>3143</v>
      </c>
      <c r="R80" s="4">
        <f t="shared" si="79"/>
        <v>82642</v>
      </c>
      <c r="S80" s="4">
        <v>18127</v>
      </c>
      <c r="T80" s="4">
        <f t="shared" si="80"/>
        <v>120002</v>
      </c>
      <c r="U80" s="4">
        <v>4138</v>
      </c>
      <c r="V80" s="4">
        <f t="shared" si="81"/>
        <v>82687</v>
      </c>
      <c r="W80" s="4">
        <v>9985</v>
      </c>
      <c r="X80" s="4">
        <f t="shared" si="82"/>
        <v>71087</v>
      </c>
      <c r="Y80" s="4">
        <v>1889</v>
      </c>
      <c r="Z80" s="4">
        <f t="shared" si="83"/>
        <v>46963</v>
      </c>
      <c r="AA80" s="4">
        <v>15367</v>
      </c>
      <c r="AB80" s="4">
        <f t="shared" si="84"/>
        <v>50054</v>
      </c>
      <c r="AC80" s="4">
        <v>2744</v>
      </c>
      <c r="AD80" s="4">
        <f t="shared" si="85"/>
        <v>47453</v>
      </c>
      <c r="AE80" s="4">
        <v>37875</v>
      </c>
      <c r="AF80" s="4">
        <f t="shared" si="86"/>
        <v>142573</v>
      </c>
      <c r="AG80" s="4">
        <v>5610</v>
      </c>
      <c r="AH80" s="4">
        <f t="shared" si="87"/>
        <v>96871</v>
      </c>
      <c r="AI80" s="4">
        <v>17413</v>
      </c>
      <c r="AJ80" s="4">
        <f t="shared" si="88"/>
        <v>56334</v>
      </c>
      <c r="AK80" s="4">
        <v>2990</v>
      </c>
      <c r="AL80" s="4">
        <f t="shared" si="89"/>
        <v>51782</v>
      </c>
      <c r="AM80" s="4">
        <v>44748</v>
      </c>
      <c r="AN80" s="4">
        <f t="shared" si="90"/>
        <v>166514</v>
      </c>
      <c r="AO80" s="4">
        <v>6323</v>
      </c>
      <c r="AP80" s="4">
        <f t="shared" si="91"/>
        <v>108878</v>
      </c>
      <c r="AQ80" s="4">
        <v>45645</v>
      </c>
      <c r="AR80" s="4">
        <f t="shared" si="92"/>
        <v>218868</v>
      </c>
      <c r="AS80" s="4">
        <v>5598</v>
      </c>
      <c r="AT80" s="4">
        <f t="shared" si="93"/>
        <v>108490</v>
      </c>
      <c r="AU80" s="4">
        <v>18310</v>
      </c>
      <c r="AV80" s="4">
        <f t="shared" si="94"/>
        <v>108688</v>
      </c>
      <c r="AW80" s="4">
        <v>2265</v>
      </c>
      <c r="AX80" s="4">
        <f t="shared" si="95"/>
        <v>51394</v>
      </c>
    </row>
    <row r="81" spans="1:50" x14ac:dyDescent="0.25">
      <c r="A81" s="5" t="s">
        <v>7</v>
      </c>
      <c r="B81" s="5"/>
      <c r="C81" s="5">
        <f>SUM(C71:C80)</f>
        <v>23914</v>
      </c>
      <c r="D81" s="5"/>
      <c r="E81" s="5">
        <f>SUM(E71:E80)</f>
        <v>43528</v>
      </c>
      <c r="F81" s="5"/>
      <c r="G81" s="5">
        <f>SUM(G71:G80)</f>
        <v>65296</v>
      </c>
      <c r="H81" s="5"/>
      <c r="I81" s="5">
        <f>SUM(I71:I80)</f>
        <v>74926</v>
      </c>
      <c r="J81" s="5"/>
      <c r="K81" s="5">
        <f>SUM(K71:K80)</f>
        <v>26726</v>
      </c>
      <c r="L81" s="5"/>
      <c r="M81" s="5">
        <f>SUM(M71:M80)</f>
        <v>46918</v>
      </c>
      <c r="N81" s="5"/>
      <c r="O81" s="5">
        <f>SUM(O71:O80)</f>
        <v>75641</v>
      </c>
      <c r="P81" s="5"/>
      <c r="Q81" s="5">
        <f>SUM(Q71:Q80)</f>
        <v>82642</v>
      </c>
      <c r="R81" s="5"/>
      <c r="S81" s="5">
        <f>SUM(S71:S80)</f>
        <v>120002</v>
      </c>
      <c r="T81" s="5"/>
      <c r="U81" s="5">
        <f>SUM(U71:U80)</f>
        <v>82687</v>
      </c>
      <c r="V81" s="5"/>
      <c r="W81" s="5">
        <f>SUM(W71:W80)</f>
        <v>71087</v>
      </c>
      <c r="X81" s="5"/>
      <c r="Y81" s="5">
        <f>SUM(Y71:Y80)</f>
        <v>46963</v>
      </c>
      <c r="Z81" s="5"/>
      <c r="AA81" s="5">
        <f>SUM(AA71:AA80)</f>
        <v>50054</v>
      </c>
      <c r="AB81" s="5"/>
      <c r="AC81" s="5">
        <f>SUM(AC71:AC80)</f>
        <v>47453</v>
      </c>
      <c r="AD81" s="5"/>
      <c r="AE81" s="5">
        <f>SUM(AE71:AE80)</f>
        <v>142573</v>
      </c>
      <c r="AF81" s="5"/>
      <c r="AG81" s="5">
        <f>SUM(AG71:AG80)</f>
        <v>96871</v>
      </c>
      <c r="AH81" s="5"/>
      <c r="AI81" s="5">
        <f>SUM(AI71:AI80)</f>
        <v>56334</v>
      </c>
      <c r="AJ81" s="5"/>
      <c r="AK81" s="5">
        <f>SUM(AK71:AK80)</f>
        <v>51782</v>
      </c>
      <c r="AL81" s="5"/>
      <c r="AM81" s="5">
        <f>SUM(AM71:AM80)</f>
        <v>166514</v>
      </c>
      <c r="AN81" s="5"/>
      <c r="AO81" s="5">
        <f>SUM(AO71:AO80)</f>
        <v>108878</v>
      </c>
      <c r="AP81" s="5"/>
      <c r="AQ81" s="5">
        <f>SUM(AQ71:AQ80)</f>
        <v>218868</v>
      </c>
      <c r="AR81" s="5"/>
      <c r="AS81" s="5">
        <f>SUM(AS71:AS80)</f>
        <v>108490</v>
      </c>
      <c r="AT81" s="5"/>
      <c r="AU81" s="5">
        <f>SUM(AU71:AU80)</f>
        <v>108688</v>
      </c>
      <c r="AV81" s="5"/>
      <c r="AW81" s="5">
        <f>SUM(AW71:AW80)</f>
        <v>51394</v>
      </c>
      <c r="AX81" s="5"/>
    </row>
  </sheetData>
  <mergeCells count="56">
    <mergeCell ref="C68:Z68"/>
    <mergeCell ref="AA68:AX68"/>
    <mergeCell ref="C69:F69"/>
    <mergeCell ref="G69:J69"/>
    <mergeCell ref="K69:N69"/>
    <mergeCell ref="O69:R69"/>
    <mergeCell ref="S69:V69"/>
    <mergeCell ref="W69:Z69"/>
    <mergeCell ref="AA69:AD69"/>
    <mergeCell ref="AE69:AH69"/>
    <mergeCell ref="AI69:AL69"/>
    <mergeCell ref="AM69:AP69"/>
    <mergeCell ref="AQ69:AT69"/>
    <mergeCell ref="AU69:AX69"/>
    <mergeCell ref="AA50:AX50"/>
    <mergeCell ref="C51:F51"/>
    <mergeCell ref="G51:J51"/>
    <mergeCell ref="K51:N51"/>
    <mergeCell ref="O51:R51"/>
    <mergeCell ref="S51:V51"/>
    <mergeCell ref="W51:Z51"/>
    <mergeCell ref="AA51:AD51"/>
    <mergeCell ref="AE51:AH51"/>
    <mergeCell ref="AI51:AL51"/>
    <mergeCell ref="AM51:AP51"/>
    <mergeCell ref="AQ51:AT51"/>
    <mergeCell ref="AU51:AX51"/>
    <mergeCell ref="AA30:AX30"/>
    <mergeCell ref="C31:F31"/>
    <mergeCell ref="G31:J31"/>
    <mergeCell ref="K31:N31"/>
    <mergeCell ref="O31:R31"/>
    <mergeCell ref="S31:V31"/>
    <mergeCell ref="W31:Z31"/>
    <mergeCell ref="AA31:AD31"/>
    <mergeCell ref="AE31:AH31"/>
    <mergeCell ref="AI31:AL31"/>
    <mergeCell ref="AM31:AP31"/>
    <mergeCell ref="AQ31:AT31"/>
    <mergeCell ref="AU31:AX31"/>
    <mergeCell ref="C12:Z12"/>
    <mergeCell ref="AA12:AX12"/>
    <mergeCell ref="C13:F13"/>
    <mergeCell ref="G13:J13"/>
    <mergeCell ref="K13:N13"/>
    <mergeCell ref="O13:R13"/>
    <mergeCell ref="S13:V13"/>
    <mergeCell ref="W13:Z13"/>
    <mergeCell ref="AA13:AD13"/>
    <mergeCell ref="AE13:AH13"/>
    <mergeCell ref="AI13:AL13"/>
    <mergeCell ref="AM13:AP13"/>
    <mergeCell ref="AQ13:AT13"/>
    <mergeCell ref="AU13:AX13"/>
    <mergeCell ref="C30:Z30"/>
    <mergeCell ref="C50:Z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52DD-5E38-4971-881D-3BB74FBE596C}">
  <dimension ref="A5:AX81"/>
  <sheetViews>
    <sheetView topLeftCell="A55" zoomScale="85" zoomScaleNormal="85" workbookViewId="0">
      <selection activeCell="B71" activeCellId="3" sqref="B15:B24 B33:B42 B53:B62 B71:B80"/>
    </sheetView>
  </sheetViews>
  <sheetFormatPr baseColWidth="10" defaultColWidth="9.140625" defaultRowHeight="15" x14ac:dyDescent="0.25"/>
  <cols>
    <col min="1" max="1" width="19.5703125" customWidth="1"/>
    <col min="2" max="2" width="18.42578125" customWidth="1"/>
    <col min="3" max="3" width="7.42578125" bestFit="1" customWidth="1"/>
    <col min="4" max="4" width="9.7109375" bestFit="1" customWidth="1"/>
    <col min="5" max="5" width="7.42578125" bestFit="1" customWidth="1"/>
    <col min="6" max="6" width="9.7109375" bestFit="1" customWidth="1"/>
    <col min="7" max="7" width="7.42578125" bestFit="1" customWidth="1"/>
    <col min="8" max="8" width="9.7109375" bestFit="1" customWidth="1"/>
    <col min="9" max="9" width="7.42578125" bestFit="1" customWidth="1"/>
    <col min="10" max="10" width="9.7109375" bestFit="1" customWidth="1"/>
    <col min="11" max="11" width="7.42578125" bestFit="1" customWidth="1"/>
    <col min="12" max="12" width="9.7109375" bestFit="1" customWidth="1"/>
    <col min="13" max="13" width="7.42578125" bestFit="1" customWidth="1"/>
    <col min="14" max="14" width="9.7109375" bestFit="1" customWidth="1"/>
    <col min="15" max="15" width="7.42578125" bestFit="1" customWidth="1"/>
    <col min="16" max="16" width="9.7109375" bestFit="1" customWidth="1"/>
    <col min="17" max="17" width="7.42578125" bestFit="1" customWidth="1"/>
    <col min="18" max="18" width="9.7109375" bestFit="1" customWidth="1"/>
    <col min="19" max="19" width="7.42578125" bestFit="1" customWidth="1"/>
    <col min="20" max="20" width="9.7109375" bestFit="1" customWidth="1"/>
    <col min="21" max="21" width="7.42578125" bestFit="1" customWidth="1"/>
    <col min="22" max="22" width="9.7109375" bestFit="1" customWidth="1"/>
    <col min="23" max="23" width="7.42578125" bestFit="1" customWidth="1"/>
    <col min="24" max="24" width="9.7109375" bestFit="1" customWidth="1"/>
    <col min="25" max="25" width="7.42578125" bestFit="1" customWidth="1"/>
    <col min="26" max="26" width="9.7109375" bestFit="1" customWidth="1"/>
    <col min="27" max="27" width="7.42578125" bestFit="1" customWidth="1"/>
    <col min="28" max="28" width="9.7109375" bestFit="1" customWidth="1"/>
    <col min="29" max="29" width="7.42578125" bestFit="1" customWidth="1"/>
    <col min="30" max="30" width="9.7109375" bestFit="1" customWidth="1"/>
    <col min="31" max="31" width="7.42578125" bestFit="1" customWidth="1"/>
    <col min="32" max="32" width="9.7109375" bestFit="1" customWidth="1"/>
    <col min="33" max="33" width="7.42578125" bestFit="1" customWidth="1"/>
    <col min="34" max="34" width="9.7109375" bestFit="1" customWidth="1"/>
    <col min="35" max="35" width="7.42578125" bestFit="1" customWidth="1"/>
    <col min="36" max="36" width="9.7109375" bestFit="1" customWidth="1"/>
    <col min="37" max="37" width="7.42578125" bestFit="1" customWidth="1"/>
    <col min="38" max="38" width="9.7109375" bestFit="1" customWidth="1"/>
    <col min="39" max="39" width="7.42578125" bestFit="1" customWidth="1"/>
    <col min="40" max="40" width="9.7109375" bestFit="1" customWidth="1"/>
    <col min="41" max="41" width="7.42578125" bestFit="1" customWidth="1"/>
    <col min="42" max="42" width="9.7109375" bestFit="1" customWidth="1"/>
    <col min="43" max="43" width="7.42578125" bestFit="1" customWidth="1"/>
    <col min="44" max="44" width="9.7109375" bestFit="1" customWidth="1"/>
    <col min="45" max="45" width="7.42578125" bestFit="1" customWidth="1"/>
    <col min="46" max="46" width="9.7109375" bestFit="1" customWidth="1"/>
    <col min="47" max="47" width="7.42578125" bestFit="1" customWidth="1"/>
    <col min="48" max="48" width="9.7109375" bestFit="1" customWidth="1"/>
    <col min="49" max="49" width="7.42578125" bestFit="1" customWidth="1"/>
    <col min="50" max="50" width="9.7109375" bestFit="1" customWidth="1"/>
  </cols>
  <sheetData>
    <row r="5" spans="1:50" x14ac:dyDescent="0.25">
      <c r="A5" s="1" t="s">
        <v>9</v>
      </c>
      <c r="B5" t="str">
        <f ca="1">VLOOKUP(VALUE(LEFT(RIGHT(MID(CELL("Dateiname",A1),FIND("[",CELL("Dateiname",A1))+1,FIND("]",CELL("Dateiname",A1))-FIND("[",CELL("Dateiname",A1))-1),9),4)),[1]REF!A:B,2,FALSE)</f>
        <v>St. Josephs Indianer Hilfswerke e.V.</v>
      </c>
    </row>
    <row r="6" spans="1:50" x14ac:dyDescent="0.25">
      <c r="A6" s="1" t="s">
        <v>10</v>
      </c>
      <c r="B6" t="str">
        <f ca="1">LEFT(MID(CELL("Dateiname",A1),FIND("[",CELL("Dateiname",A1))+1,FIND("]",CELL("Dateiname",A1))-FIND("[",CELL("Dateiname",A1))-1),14)</f>
        <v>2025-12-02-035</v>
      </c>
    </row>
    <row r="7" spans="1:50" x14ac:dyDescent="0.25">
      <c r="A7" s="1" t="s">
        <v>11</v>
      </c>
      <c r="B7" s="2">
        <f ca="1">TODAY()</f>
        <v>45994</v>
      </c>
    </row>
    <row r="10" spans="1:50" x14ac:dyDescent="0.25">
      <c r="A10" t="s">
        <v>8</v>
      </c>
    </row>
    <row r="12" spans="1:50" x14ac:dyDescent="0.25">
      <c r="A12" s="3"/>
      <c r="B12" s="3"/>
      <c r="C12" s="7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9"/>
      <c r="AA12" s="7" t="s">
        <v>14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9"/>
    </row>
    <row r="13" spans="1:50" x14ac:dyDescent="0.25">
      <c r="A13" s="3"/>
      <c r="B13" s="3"/>
      <c r="C13" s="7" t="s">
        <v>1</v>
      </c>
      <c r="D13" s="8"/>
      <c r="E13" s="8"/>
      <c r="F13" s="9"/>
      <c r="G13" s="7" t="s">
        <v>0</v>
      </c>
      <c r="H13" s="8"/>
      <c r="I13" s="8"/>
      <c r="J13" s="9"/>
      <c r="K13" s="7" t="s">
        <v>2</v>
      </c>
      <c r="L13" s="8"/>
      <c r="M13" s="8"/>
      <c r="N13" s="9"/>
      <c r="O13" s="7" t="s">
        <v>3</v>
      </c>
      <c r="P13" s="8"/>
      <c r="Q13" s="8"/>
      <c r="R13" s="9"/>
      <c r="S13" s="7" t="s">
        <v>4</v>
      </c>
      <c r="T13" s="8"/>
      <c r="U13" s="8"/>
      <c r="V13" s="9"/>
      <c r="W13" s="7" t="s">
        <v>5</v>
      </c>
      <c r="X13" s="8"/>
      <c r="Y13" s="8"/>
      <c r="Z13" s="9"/>
      <c r="AA13" s="7" t="s">
        <v>1</v>
      </c>
      <c r="AB13" s="8"/>
      <c r="AC13" s="8"/>
      <c r="AD13" s="9"/>
      <c r="AE13" s="7" t="s">
        <v>0</v>
      </c>
      <c r="AF13" s="8"/>
      <c r="AG13" s="8"/>
      <c r="AH13" s="9"/>
      <c r="AI13" s="7" t="s">
        <v>2</v>
      </c>
      <c r="AJ13" s="8"/>
      <c r="AK13" s="8"/>
      <c r="AL13" s="9"/>
      <c r="AM13" s="7" t="s">
        <v>3</v>
      </c>
      <c r="AN13" s="8"/>
      <c r="AO13" s="8"/>
      <c r="AP13" s="9"/>
      <c r="AQ13" s="7" t="s">
        <v>4</v>
      </c>
      <c r="AR13" s="8"/>
      <c r="AS13" s="8"/>
      <c r="AT13" s="9"/>
      <c r="AU13" s="7" t="s">
        <v>5</v>
      </c>
      <c r="AV13" s="8"/>
      <c r="AW13" s="8"/>
      <c r="AX13" s="9"/>
    </row>
    <row r="14" spans="1:50" x14ac:dyDescent="0.25">
      <c r="A14" s="3" t="s">
        <v>6</v>
      </c>
      <c r="B14" s="3" t="s">
        <v>20</v>
      </c>
      <c r="C14" s="3" t="s">
        <v>17</v>
      </c>
      <c r="D14" s="3" t="s">
        <v>19</v>
      </c>
      <c r="E14" s="3" t="s">
        <v>15</v>
      </c>
      <c r="F14" s="3" t="s">
        <v>19</v>
      </c>
      <c r="G14" s="3" t="s">
        <v>17</v>
      </c>
      <c r="H14" s="3" t="s">
        <v>19</v>
      </c>
      <c r="I14" s="3" t="s">
        <v>15</v>
      </c>
      <c r="J14" s="3" t="s">
        <v>19</v>
      </c>
      <c r="K14" s="3" t="s">
        <v>17</v>
      </c>
      <c r="L14" s="3" t="s">
        <v>19</v>
      </c>
      <c r="M14" s="3" t="s">
        <v>15</v>
      </c>
      <c r="N14" s="3" t="s">
        <v>19</v>
      </c>
      <c r="O14" s="3" t="s">
        <v>17</v>
      </c>
      <c r="P14" s="3" t="s">
        <v>19</v>
      </c>
      <c r="Q14" s="3" t="s">
        <v>15</v>
      </c>
      <c r="R14" s="3" t="s">
        <v>19</v>
      </c>
      <c r="S14" s="3" t="s">
        <v>17</v>
      </c>
      <c r="T14" s="3" t="s">
        <v>19</v>
      </c>
      <c r="U14" s="3" t="s">
        <v>15</v>
      </c>
      <c r="V14" s="3" t="s">
        <v>19</v>
      </c>
      <c r="W14" s="3" t="s">
        <v>17</v>
      </c>
      <c r="X14" s="3" t="s">
        <v>19</v>
      </c>
      <c r="Y14" s="3" t="s">
        <v>15</v>
      </c>
      <c r="Z14" s="3" t="s">
        <v>19</v>
      </c>
      <c r="AA14" s="3" t="s">
        <v>17</v>
      </c>
      <c r="AB14" s="3" t="s">
        <v>19</v>
      </c>
      <c r="AC14" s="3" t="s">
        <v>15</v>
      </c>
      <c r="AD14" s="3" t="s">
        <v>19</v>
      </c>
      <c r="AE14" s="3" t="s">
        <v>17</v>
      </c>
      <c r="AF14" s="3" t="s">
        <v>19</v>
      </c>
      <c r="AG14" s="3" t="s">
        <v>15</v>
      </c>
      <c r="AH14" s="3" t="s">
        <v>19</v>
      </c>
      <c r="AI14" s="3" t="s">
        <v>17</v>
      </c>
      <c r="AJ14" s="3" t="s">
        <v>19</v>
      </c>
      <c r="AK14" s="3" t="s">
        <v>15</v>
      </c>
      <c r="AL14" s="3" t="s">
        <v>19</v>
      </c>
      <c r="AM14" s="3" t="s">
        <v>17</v>
      </c>
      <c r="AN14" s="3" t="s">
        <v>19</v>
      </c>
      <c r="AO14" s="3" t="s">
        <v>15</v>
      </c>
      <c r="AP14" s="3" t="s">
        <v>19</v>
      </c>
      <c r="AQ14" s="3" t="s">
        <v>17</v>
      </c>
      <c r="AR14" s="3" t="s">
        <v>19</v>
      </c>
      <c r="AS14" s="3" t="s">
        <v>15</v>
      </c>
      <c r="AT14" s="3" t="s">
        <v>19</v>
      </c>
      <c r="AU14" s="3" t="s">
        <v>17</v>
      </c>
      <c r="AV14" s="3" t="s">
        <v>19</v>
      </c>
      <c r="AW14" s="3" t="s">
        <v>15</v>
      </c>
      <c r="AX14" s="3" t="s">
        <v>19</v>
      </c>
    </row>
    <row r="15" spans="1:50" x14ac:dyDescent="0.25">
      <c r="A15" s="6">
        <v>1</v>
      </c>
      <c r="B15" s="10">
        <v>653</v>
      </c>
      <c r="C15" s="6">
        <v>1762</v>
      </c>
      <c r="D15" s="6">
        <f>C15</f>
        <v>1762</v>
      </c>
      <c r="E15" s="6">
        <v>11781</v>
      </c>
      <c r="F15" s="6">
        <f>E15</f>
        <v>11781</v>
      </c>
      <c r="G15" s="6">
        <v>1906</v>
      </c>
      <c r="H15" s="6">
        <f>G15</f>
        <v>1906</v>
      </c>
      <c r="I15" s="6">
        <v>12620</v>
      </c>
      <c r="J15" s="6">
        <f>I15</f>
        <v>12620</v>
      </c>
      <c r="K15" s="6">
        <v>1766</v>
      </c>
      <c r="L15" s="6">
        <f>K15</f>
        <v>1766</v>
      </c>
      <c r="M15" s="6">
        <v>11815</v>
      </c>
      <c r="N15" s="6">
        <f>M15</f>
        <v>11815</v>
      </c>
      <c r="O15" s="6">
        <v>1909</v>
      </c>
      <c r="P15" s="6">
        <f>O15</f>
        <v>1909</v>
      </c>
      <c r="Q15" s="6">
        <v>12637</v>
      </c>
      <c r="R15" s="6">
        <f>Q15</f>
        <v>12637</v>
      </c>
      <c r="S15" s="6">
        <v>184</v>
      </c>
      <c r="T15" s="6">
        <f>S15</f>
        <v>184</v>
      </c>
      <c r="U15" s="6">
        <v>1125</v>
      </c>
      <c r="V15" s="6">
        <f>U15</f>
        <v>1125</v>
      </c>
      <c r="W15" s="6">
        <v>41</v>
      </c>
      <c r="X15" s="6">
        <f>W15</f>
        <v>41</v>
      </c>
      <c r="Y15" s="6">
        <v>303</v>
      </c>
      <c r="Z15" s="6">
        <f>Y15</f>
        <v>303</v>
      </c>
      <c r="AA15" s="6">
        <v>1017</v>
      </c>
      <c r="AB15" s="6">
        <f>AA15</f>
        <v>1017</v>
      </c>
      <c r="AC15" s="6">
        <v>8164</v>
      </c>
      <c r="AD15" s="6">
        <f>AC15</f>
        <v>8164</v>
      </c>
      <c r="AE15" s="6">
        <v>1187</v>
      </c>
      <c r="AF15" s="6">
        <f>AE15</f>
        <v>1187</v>
      </c>
      <c r="AG15" s="6">
        <v>9141</v>
      </c>
      <c r="AH15" s="6">
        <f>AG15</f>
        <v>9141</v>
      </c>
      <c r="AI15" s="6">
        <v>1025</v>
      </c>
      <c r="AJ15" s="6">
        <f>AI15</f>
        <v>1025</v>
      </c>
      <c r="AK15" s="6">
        <v>8198</v>
      </c>
      <c r="AL15" s="6">
        <f>AK15</f>
        <v>8198</v>
      </c>
      <c r="AM15" s="6">
        <v>1188</v>
      </c>
      <c r="AN15" s="6">
        <f>AM15</f>
        <v>1188</v>
      </c>
      <c r="AO15" s="6">
        <v>9157</v>
      </c>
      <c r="AP15" s="6">
        <f>AO15</f>
        <v>9157</v>
      </c>
      <c r="AQ15" s="6">
        <v>200</v>
      </c>
      <c r="AR15" s="6">
        <f>AQ15</f>
        <v>200</v>
      </c>
      <c r="AS15" s="6">
        <v>1234</v>
      </c>
      <c r="AT15" s="6">
        <f>AS15</f>
        <v>1234</v>
      </c>
      <c r="AU15" s="6">
        <v>37</v>
      </c>
      <c r="AV15" s="6">
        <f>AU15</f>
        <v>37</v>
      </c>
      <c r="AW15" s="6">
        <v>275</v>
      </c>
      <c r="AX15" s="6">
        <f>AW15</f>
        <v>275</v>
      </c>
    </row>
    <row r="16" spans="1:50" x14ac:dyDescent="0.25">
      <c r="A16" s="4">
        <v>2</v>
      </c>
      <c r="B16" s="11">
        <v>446</v>
      </c>
      <c r="C16" s="4">
        <v>1030</v>
      </c>
      <c r="D16" s="4">
        <f>C16+D15</f>
        <v>2792</v>
      </c>
      <c r="E16" s="4">
        <v>3828</v>
      </c>
      <c r="F16" s="4">
        <f>E16+F15</f>
        <v>15609</v>
      </c>
      <c r="G16" s="4">
        <v>1306</v>
      </c>
      <c r="H16" s="4">
        <f>G16+H15</f>
        <v>3212</v>
      </c>
      <c r="I16" s="4">
        <v>4889</v>
      </c>
      <c r="J16" s="4">
        <f>I16+J15</f>
        <v>17509</v>
      </c>
      <c r="K16" s="4">
        <v>1032</v>
      </c>
      <c r="L16" s="4">
        <f>K16+L15</f>
        <v>2798</v>
      </c>
      <c r="M16" s="4">
        <v>3858</v>
      </c>
      <c r="N16" s="4">
        <f>M16+N15</f>
        <v>15673</v>
      </c>
      <c r="O16" s="4">
        <v>1306</v>
      </c>
      <c r="P16" s="4">
        <f>O16+P15</f>
        <v>3215</v>
      </c>
      <c r="Q16" s="4">
        <v>4903</v>
      </c>
      <c r="R16" s="4">
        <f>Q16+R15</f>
        <v>17540</v>
      </c>
      <c r="S16" s="4">
        <v>418</v>
      </c>
      <c r="T16" s="4">
        <f>S16+T15</f>
        <v>602</v>
      </c>
      <c r="U16" s="4">
        <v>1640</v>
      </c>
      <c r="V16" s="4">
        <f>U16+V15</f>
        <v>2765</v>
      </c>
      <c r="W16" s="4">
        <v>144</v>
      </c>
      <c r="X16" s="4">
        <f>W16+X15</f>
        <v>185</v>
      </c>
      <c r="Y16" s="4">
        <v>595</v>
      </c>
      <c r="Z16" s="4">
        <f>Y16+Z15</f>
        <v>898</v>
      </c>
      <c r="AA16" s="4">
        <v>744</v>
      </c>
      <c r="AB16" s="4">
        <f>AA16+AB15</f>
        <v>1761</v>
      </c>
      <c r="AC16" s="4">
        <v>2892</v>
      </c>
      <c r="AD16" s="4">
        <f>AC16+AD15</f>
        <v>11056</v>
      </c>
      <c r="AE16" s="4">
        <v>1138</v>
      </c>
      <c r="AF16" s="4">
        <f>AE16+AF15</f>
        <v>2325</v>
      </c>
      <c r="AG16" s="4">
        <v>4154</v>
      </c>
      <c r="AH16" s="4">
        <f>AG16+AH15</f>
        <v>13295</v>
      </c>
      <c r="AI16" s="4">
        <v>754</v>
      </c>
      <c r="AJ16" s="4">
        <f>AI16+AJ15</f>
        <v>1779</v>
      </c>
      <c r="AK16" s="4">
        <v>2913</v>
      </c>
      <c r="AL16" s="4">
        <f>AK16+AL15</f>
        <v>11111</v>
      </c>
      <c r="AM16" s="4">
        <v>1143</v>
      </c>
      <c r="AN16" s="4">
        <f>AM16+AN15</f>
        <v>2331</v>
      </c>
      <c r="AO16" s="4">
        <v>4167</v>
      </c>
      <c r="AP16" s="4">
        <f>AO16+AP15</f>
        <v>13324</v>
      </c>
      <c r="AQ16" s="4">
        <v>555</v>
      </c>
      <c r="AR16" s="4">
        <f>AQ16+AR15</f>
        <v>755</v>
      </c>
      <c r="AS16" s="4">
        <v>1857</v>
      </c>
      <c r="AT16" s="4">
        <f>AS16+AT15</f>
        <v>3091</v>
      </c>
      <c r="AU16" s="4">
        <v>166</v>
      </c>
      <c r="AV16" s="4">
        <f>AU16+AV15</f>
        <v>203</v>
      </c>
      <c r="AW16" s="4">
        <v>603</v>
      </c>
      <c r="AX16" s="4">
        <f>AW16+AX15</f>
        <v>878</v>
      </c>
    </row>
    <row r="17" spans="1:50" x14ac:dyDescent="0.25">
      <c r="A17" s="6">
        <v>3</v>
      </c>
      <c r="B17" s="11">
        <v>315</v>
      </c>
      <c r="C17" s="6">
        <v>692</v>
      </c>
      <c r="D17" s="6">
        <f t="shared" ref="D17:D24" si="0">C17+D16</f>
        <v>3484</v>
      </c>
      <c r="E17" s="6">
        <v>1842</v>
      </c>
      <c r="F17" s="6">
        <f t="shared" ref="F17:F24" si="1">E17+F16</f>
        <v>17451</v>
      </c>
      <c r="G17" s="6">
        <v>1049</v>
      </c>
      <c r="H17" s="6">
        <f t="shared" ref="H17:H24" si="2">G17+H16</f>
        <v>4261</v>
      </c>
      <c r="I17" s="6">
        <v>2923</v>
      </c>
      <c r="J17" s="6">
        <f t="shared" ref="J17:J24" si="3">I17+J16</f>
        <v>20432</v>
      </c>
      <c r="K17" s="6">
        <v>700</v>
      </c>
      <c r="L17" s="6">
        <f t="shared" ref="L17:L24" si="4">K17+L16</f>
        <v>3498</v>
      </c>
      <c r="M17" s="6">
        <v>1857</v>
      </c>
      <c r="N17" s="6">
        <f t="shared" ref="N17:N24" si="5">M17+N16</f>
        <v>17530</v>
      </c>
      <c r="O17" s="6">
        <v>1053</v>
      </c>
      <c r="P17" s="6">
        <f t="shared" ref="P17:P24" si="6">O17+P16</f>
        <v>4268</v>
      </c>
      <c r="Q17" s="6">
        <v>2929</v>
      </c>
      <c r="R17" s="6">
        <f t="shared" ref="R17:R24" si="7">Q17+R16</f>
        <v>20469</v>
      </c>
      <c r="S17" s="6">
        <v>570</v>
      </c>
      <c r="T17" s="6">
        <f t="shared" ref="T17:T24" si="8">S17+T16</f>
        <v>1172</v>
      </c>
      <c r="U17" s="6">
        <v>1661</v>
      </c>
      <c r="V17" s="6">
        <f t="shared" ref="V17:V24" si="9">U17+V16</f>
        <v>4426</v>
      </c>
      <c r="W17" s="6">
        <v>217</v>
      </c>
      <c r="X17" s="6">
        <f t="shared" ref="X17:X24" si="10">W17+X16</f>
        <v>402</v>
      </c>
      <c r="Y17" s="6">
        <v>589</v>
      </c>
      <c r="Z17" s="6">
        <f t="shared" ref="Z17:Z24" si="11">Y17+Z16</f>
        <v>1487</v>
      </c>
      <c r="AA17" s="6">
        <v>614</v>
      </c>
      <c r="AB17" s="6">
        <f t="shared" ref="AB17:AB24" si="12">AA17+AB16</f>
        <v>2375</v>
      </c>
      <c r="AC17" s="6">
        <v>1601</v>
      </c>
      <c r="AD17" s="6">
        <f t="shared" ref="AD17:AD24" si="13">AC17+AD16</f>
        <v>12657</v>
      </c>
      <c r="AE17" s="6">
        <v>1186</v>
      </c>
      <c r="AF17" s="6">
        <f t="shared" ref="AF17:AF24" si="14">AE17+AF16</f>
        <v>3511</v>
      </c>
      <c r="AG17" s="6">
        <v>2987</v>
      </c>
      <c r="AH17" s="6">
        <f t="shared" ref="AH17:AH24" si="15">AG17+AH16</f>
        <v>16282</v>
      </c>
      <c r="AI17" s="6">
        <v>618</v>
      </c>
      <c r="AJ17" s="6">
        <f t="shared" ref="AJ17:AJ24" si="16">AI17+AJ16</f>
        <v>2397</v>
      </c>
      <c r="AK17" s="6">
        <v>1612</v>
      </c>
      <c r="AL17" s="6">
        <f t="shared" ref="AL17:AL24" si="17">AK17+AL16</f>
        <v>12723</v>
      </c>
      <c r="AM17" s="6">
        <v>1190</v>
      </c>
      <c r="AN17" s="6">
        <f t="shared" ref="AN17:AN24" si="18">AM17+AN16</f>
        <v>3521</v>
      </c>
      <c r="AO17" s="6">
        <v>2997</v>
      </c>
      <c r="AP17" s="6">
        <f t="shared" ref="AP17:AP24" si="19">AO17+AP16</f>
        <v>16321</v>
      </c>
      <c r="AQ17" s="6">
        <v>853</v>
      </c>
      <c r="AR17" s="6">
        <f t="shared" ref="AR17:AR24" si="20">AQ17+AR16</f>
        <v>1608</v>
      </c>
      <c r="AS17" s="6">
        <v>1968</v>
      </c>
      <c r="AT17" s="6">
        <f t="shared" ref="AT17:AT24" si="21">AS17+AT16</f>
        <v>5059</v>
      </c>
      <c r="AU17" s="6">
        <v>281</v>
      </c>
      <c r="AV17" s="6">
        <f t="shared" ref="AV17:AV24" si="22">AU17+AV16</f>
        <v>484</v>
      </c>
      <c r="AW17" s="6">
        <v>583</v>
      </c>
      <c r="AX17" s="6">
        <f t="shared" ref="AX17:AX24" si="23">AW17+AX16</f>
        <v>1461</v>
      </c>
    </row>
    <row r="18" spans="1:50" x14ac:dyDescent="0.25">
      <c r="A18" s="4">
        <v>4</v>
      </c>
      <c r="B18" s="11">
        <v>189</v>
      </c>
      <c r="C18" s="4">
        <v>415</v>
      </c>
      <c r="D18" s="4">
        <f t="shared" si="0"/>
        <v>3899</v>
      </c>
      <c r="E18" s="4">
        <v>1106</v>
      </c>
      <c r="F18" s="4">
        <f t="shared" si="1"/>
        <v>18557</v>
      </c>
      <c r="G18" s="4">
        <v>736</v>
      </c>
      <c r="H18" s="4">
        <f t="shared" si="2"/>
        <v>4997</v>
      </c>
      <c r="I18" s="4">
        <v>1944</v>
      </c>
      <c r="J18" s="4">
        <f t="shared" si="3"/>
        <v>22376</v>
      </c>
      <c r="K18" s="4">
        <v>422</v>
      </c>
      <c r="L18" s="4">
        <f t="shared" si="4"/>
        <v>3920</v>
      </c>
      <c r="M18" s="4">
        <v>1119</v>
      </c>
      <c r="N18" s="4">
        <f t="shared" si="5"/>
        <v>18649</v>
      </c>
      <c r="O18" s="4">
        <v>736</v>
      </c>
      <c r="P18" s="4">
        <f t="shared" si="6"/>
        <v>5004</v>
      </c>
      <c r="Q18" s="4">
        <v>1948</v>
      </c>
      <c r="R18" s="4">
        <f t="shared" si="7"/>
        <v>22417</v>
      </c>
      <c r="S18" s="4">
        <v>647</v>
      </c>
      <c r="T18" s="4">
        <f t="shared" si="8"/>
        <v>1819</v>
      </c>
      <c r="U18" s="4">
        <v>1471</v>
      </c>
      <c r="V18" s="4">
        <f t="shared" si="9"/>
        <v>5897</v>
      </c>
      <c r="W18" s="4">
        <v>333</v>
      </c>
      <c r="X18" s="4">
        <f t="shared" si="10"/>
        <v>735</v>
      </c>
      <c r="Y18" s="4">
        <v>642</v>
      </c>
      <c r="Z18" s="4">
        <f t="shared" si="11"/>
        <v>2129</v>
      </c>
      <c r="AA18" s="4">
        <v>345</v>
      </c>
      <c r="AB18" s="4">
        <f t="shared" si="12"/>
        <v>2720</v>
      </c>
      <c r="AC18" s="4">
        <v>935</v>
      </c>
      <c r="AD18" s="4">
        <f t="shared" si="13"/>
        <v>13592</v>
      </c>
      <c r="AE18" s="4">
        <v>890</v>
      </c>
      <c r="AF18" s="4">
        <f t="shared" si="14"/>
        <v>4401</v>
      </c>
      <c r="AG18" s="4">
        <v>2000</v>
      </c>
      <c r="AH18" s="4">
        <f t="shared" si="15"/>
        <v>18282</v>
      </c>
      <c r="AI18" s="4">
        <v>349</v>
      </c>
      <c r="AJ18" s="4">
        <f t="shared" si="16"/>
        <v>2746</v>
      </c>
      <c r="AK18" s="4">
        <v>951</v>
      </c>
      <c r="AL18" s="4">
        <f t="shared" si="17"/>
        <v>13674</v>
      </c>
      <c r="AM18" s="4">
        <v>895</v>
      </c>
      <c r="AN18" s="4">
        <f t="shared" si="18"/>
        <v>4416</v>
      </c>
      <c r="AO18" s="4">
        <v>2007</v>
      </c>
      <c r="AP18" s="4">
        <f t="shared" si="19"/>
        <v>18328</v>
      </c>
      <c r="AQ18" s="4">
        <v>959</v>
      </c>
      <c r="AR18" s="4">
        <f t="shared" si="20"/>
        <v>2567</v>
      </c>
      <c r="AS18" s="4">
        <v>1669</v>
      </c>
      <c r="AT18" s="4">
        <f t="shared" si="21"/>
        <v>6728</v>
      </c>
      <c r="AU18" s="4">
        <v>413</v>
      </c>
      <c r="AV18" s="4">
        <f t="shared" si="22"/>
        <v>897</v>
      </c>
      <c r="AW18" s="4">
        <v>613</v>
      </c>
      <c r="AX18" s="4">
        <f t="shared" si="23"/>
        <v>2074</v>
      </c>
    </row>
    <row r="19" spans="1:50" x14ac:dyDescent="0.25">
      <c r="A19" s="6">
        <v>5</v>
      </c>
      <c r="B19" s="11">
        <v>121</v>
      </c>
      <c r="C19" s="6">
        <v>309</v>
      </c>
      <c r="D19" s="6">
        <f t="shared" si="0"/>
        <v>4208</v>
      </c>
      <c r="E19" s="6">
        <v>653</v>
      </c>
      <c r="F19" s="6">
        <f t="shared" si="1"/>
        <v>19210</v>
      </c>
      <c r="G19" s="6">
        <v>608</v>
      </c>
      <c r="H19" s="6">
        <f t="shared" si="2"/>
        <v>5605</v>
      </c>
      <c r="I19" s="6">
        <v>1324</v>
      </c>
      <c r="J19" s="6">
        <f t="shared" si="3"/>
        <v>23700</v>
      </c>
      <c r="K19" s="6">
        <v>314</v>
      </c>
      <c r="L19" s="6">
        <f t="shared" si="4"/>
        <v>4234</v>
      </c>
      <c r="M19" s="6">
        <v>662</v>
      </c>
      <c r="N19" s="6">
        <f t="shared" si="5"/>
        <v>19311</v>
      </c>
      <c r="O19" s="6">
        <v>612</v>
      </c>
      <c r="P19" s="6">
        <f t="shared" si="6"/>
        <v>5616</v>
      </c>
      <c r="Q19" s="6">
        <v>1326</v>
      </c>
      <c r="R19" s="6">
        <f t="shared" si="7"/>
        <v>23743</v>
      </c>
      <c r="S19" s="6">
        <v>501</v>
      </c>
      <c r="T19" s="6">
        <f t="shared" si="8"/>
        <v>2320</v>
      </c>
      <c r="U19" s="6">
        <v>1076</v>
      </c>
      <c r="V19" s="6">
        <f t="shared" si="9"/>
        <v>6973</v>
      </c>
      <c r="W19" s="6">
        <v>203</v>
      </c>
      <c r="X19" s="6">
        <f t="shared" si="10"/>
        <v>938</v>
      </c>
      <c r="Y19" s="6">
        <v>412</v>
      </c>
      <c r="Z19" s="6">
        <f t="shared" si="11"/>
        <v>2541</v>
      </c>
      <c r="AA19" s="6">
        <v>324</v>
      </c>
      <c r="AB19" s="6">
        <f t="shared" si="12"/>
        <v>3044</v>
      </c>
      <c r="AC19" s="6">
        <v>568</v>
      </c>
      <c r="AD19" s="6">
        <f t="shared" si="13"/>
        <v>14160</v>
      </c>
      <c r="AE19" s="6">
        <v>864</v>
      </c>
      <c r="AF19" s="6">
        <f t="shared" si="14"/>
        <v>5265</v>
      </c>
      <c r="AG19" s="6">
        <v>1370</v>
      </c>
      <c r="AH19" s="6">
        <f t="shared" si="15"/>
        <v>19652</v>
      </c>
      <c r="AI19" s="6">
        <v>328</v>
      </c>
      <c r="AJ19" s="6">
        <f t="shared" si="16"/>
        <v>3074</v>
      </c>
      <c r="AK19" s="6">
        <v>576</v>
      </c>
      <c r="AL19" s="6">
        <f t="shared" si="17"/>
        <v>14250</v>
      </c>
      <c r="AM19" s="6">
        <v>867</v>
      </c>
      <c r="AN19" s="6">
        <f t="shared" si="18"/>
        <v>5283</v>
      </c>
      <c r="AO19" s="6">
        <v>1375</v>
      </c>
      <c r="AP19" s="6">
        <f t="shared" si="19"/>
        <v>19703</v>
      </c>
      <c r="AQ19" s="6">
        <v>791</v>
      </c>
      <c r="AR19" s="6">
        <f t="shared" si="20"/>
        <v>3358</v>
      </c>
      <c r="AS19" s="6">
        <v>1171</v>
      </c>
      <c r="AT19" s="6">
        <f t="shared" si="21"/>
        <v>7899</v>
      </c>
      <c r="AU19" s="6">
        <v>252</v>
      </c>
      <c r="AV19" s="6">
        <f t="shared" si="22"/>
        <v>1149</v>
      </c>
      <c r="AW19" s="6">
        <v>372</v>
      </c>
      <c r="AX19" s="6">
        <f t="shared" si="23"/>
        <v>2446</v>
      </c>
    </row>
    <row r="20" spans="1:50" x14ac:dyDescent="0.25">
      <c r="A20" s="4">
        <v>6</v>
      </c>
      <c r="B20" s="11">
        <v>95</v>
      </c>
      <c r="C20" s="4">
        <v>273</v>
      </c>
      <c r="D20" s="4">
        <f t="shared" si="0"/>
        <v>4481</v>
      </c>
      <c r="E20" s="4">
        <v>470</v>
      </c>
      <c r="F20" s="4">
        <f t="shared" si="1"/>
        <v>19680</v>
      </c>
      <c r="G20" s="4">
        <v>653</v>
      </c>
      <c r="H20" s="4">
        <f t="shared" si="2"/>
        <v>6258</v>
      </c>
      <c r="I20" s="4">
        <v>1067</v>
      </c>
      <c r="J20" s="4">
        <f t="shared" si="3"/>
        <v>24767</v>
      </c>
      <c r="K20" s="4">
        <v>275</v>
      </c>
      <c r="L20" s="4">
        <f t="shared" si="4"/>
        <v>4509</v>
      </c>
      <c r="M20" s="4">
        <v>475</v>
      </c>
      <c r="N20" s="4">
        <f t="shared" si="5"/>
        <v>19786</v>
      </c>
      <c r="O20" s="4">
        <v>654</v>
      </c>
      <c r="P20" s="4">
        <f t="shared" si="6"/>
        <v>6270</v>
      </c>
      <c r="Q20" s="4">
        <v>1071</v>
      </c>
      <c r="R20" s="4">
        <f t="shared" si="7"/>
        <v>24814</v>
      </c>
      <c r="S20" s="4">
        <v>643</v>
      </c>
      <c r="T20" s="4">
        <f t="shared" si="8"/>
        <v>2963</v>
      </c>
      <c r="U20" s="4">
        <v>958</v>
      </c>
      <c r="V20" s="4">
        <f t="shared" si="9"/>
        <v>7931</v>
      </c>
      <c r="W20" s="4">
        <v>264</v>
      </c>
      <c r="X20" s="4">
        <f t="shared" si="10"/>
        <v>1202</v>
      </c>
      <c r="Y20" s="4">
        <v>362</v>
      </c>
      <c r="Z20" s="4">
        <f t="shared" si="11"/>
        <v>2903</v>
      </c>
      <c r="AA20" s="4">
        <v>333</v>
      </c>
      <c r="AB20" s="4">
        <f t="shared" si="12"/>
        <v>3377</v>
      </c>
      <c r="AC20" s="4">
        <v>498</v>
      </c>
      <c r="AD20" s="4">
        <f t="shared" si="13"/>
        <v>14658</v>
      </c>
      <c r="AE20" s="4">
        <v>954</v>
      </c>
      <c r="AF20" s="4">
        <f t="shared" si="14"/>
        <v>6219</v>
      </c>
      <c r="AG20" s="4">
        <v>1211</v>
      </c>
      <c r="AH20" s="4">
        <f t="shared" si="15"/>
        <v>20863</v>
      </c>
      <c r="AI20" s="4">
        <v>336</v>
      </c>
      <c r="AJ20" s="4">
        <f t="shared" si="16"/>
        <v>3410</v>
      </c>
      <c r="AK20" s="4">
        <v>510</v>
      </c>
      <c r="AL20" s="4">
        <f t="shared" si="17"/>
        <v>14760</v>
      </c>
      <c r="AM20" s="4">
        <v>957</v>
      </c>
      <c r="AN20" s="4">
        <f t="shared" si="18"/>
        <v>6240</v>
      </c>
      <c r="AO20" s="4">
        <v>1215</v>
      </c>
      <c r="AP20" s="4">
        <f t="shared" si="19"/>
        <v>20918</v>
      </c>
      <c r="AQ20" s="4">
        <v>1003</v>
      </c>
      <c r="AR20" s="4">
        <f t="shared" si="20"/>
        <v>4361</v>
      </c>
      <c r="AS20" s="4">
        <v>1029</v>
      </c>
      <c r="AT20" s="4">
        <f t="shared" si="21"/>
        <v>8928</v>
      </c>
      <c r="AU20" s="4">
        <v>382</v>
      </c>
      <c r="AV20" s="4">
        <f t="shared" si="22"/>
        <v>1531</v>
      </c>
      <c r="AW20" s="4">
        <v>324</v>
      </c>
      <c r="AX20" s="4">
        <f t="shared" si="23"/>
        <v>2770</v>
      </c>
    </row>
    <row r="21" spans="1:50" x14ac:dyDescent="0.25">
      <c r="A21" s="6">
        <v>7</v>
      </c>
      <c r="B21" s="11">
        <v>67</v>
      </c>
      <c r="C21" s="6">
        <v>298</v>
      </c>
      <c r="D21" s="6">
        <f t="shared" si="0"/>
        <v>4779</v>
      </c>
      <c r="E21" s="6">
        <v>426</v>
      </c>
      <c r="F21" s="6">
        <f t="shared" si="1"/>
        <v>20106</v>
      </c>
      <c r="G21" s="6">
        <v>915</v>
      </c>
      <c r="H21" s="6">
        <f t="shared" si="2"/>
        <v>7173</v>
      </c>
      <c r="I21" s="6">
        <v>1114</v>
      </c>
      <c r="J21" s="6">
        <f t="shared" si="3"/>
        <v>25881</v>
      </c>
      <c r="K21" s="6">
        <v>302</v>
      </c>
      <c r="L21" s="6">
        <f t="shared" si="4"/>
        <v>4811</v>
      </c>
      <c r="M21" s="6">
        <v>432</v>
      </c>
      <c r="N21" s="6">
        <f t="shared" si="5"/>
        <v>20218</v>
      </c>
      <c r="O21" s="6">
        <v>918</v>
      </c>
      <c r="P21" s="6">
        <f t="shared" si="6"/>
        <v>7188</v>
      </c>
      <c r="Q21" s="6">
        <v>1114</v>
      </c>
      <c r="R21" s="6">
        <f t="shared" si="7"/>
        <v>25928</v>
      </c>
      <c r="S21" s="6">
        <v>1026</v>
      </c>
      <c r="T21" s="6">
        <f t="shared" si="8"/>
        <v>3989</v>
      </c>
      <c r="U21" s="6">
        <v>1128</v>
      </c>
      <c r="V21" s="6">
        <f t="shared" si="9"/>
        <v>9059</v>
      </c>
      <c r="W21" s="6">
        <v>410</v>
      </c>
      <c r="X21" s="6">
        <f t="shared" si="10"/>
        <v>1612</v>
      </c>
      <c r="Y21" s="6">
        <v>446</v>
      </c>
      <c r="Z21" s="6">
        <f t="shared" si="11"/>
        <v>3349</v>
      </c>
      <c r="AA21" s="6">
        <v>342</v>
      </c>
      <c r="AB21" s="6">
        <f t="shared" si="12"/>
        <v>3719</v>
      </c>
      <c r="AC21" s="6">
        <v>455</v>
      </c>
      <c r="AD21" s="6">
        <f t="shared" si="13"/>
        <v>15113</v>
      </c>
      <c r="AE21" s="6">
        <v>1454</v>
      </c>
      <c r="AF21" s="6">
        <f t="shared" si="14"/>
        <v>7673</v>
      </c>
      <c r="AG21" s="6">
        <v>1258</v>
      </c>
      <c r="AH21" s="6">
        <f t="shared" si="15"/>
        <v>22121</v>
      </c>
      <c r="AI21" s="6">
        <v>350</v>
      </c>
      <c r="AJ21" s="6">
        <f t="shared" si="16"/>
        <v>3760</v>
      </c>
      <c r="AK21" s="6">
        <v>460</v>
      </c>
      <c r="AL21" s="6">
        <f t="shared" si="17"/>
        <v>15220</v>
      </c>
      <c r="AM21" s="6">
        <v>1459</v>
      </c>
      <c r="AN21" s="6">
        <f t="shared" si="18"/>
        <v>7699</v>
      </c>
      <c r="AO21" s="6">
        <v>1262</v>
      </c>
      <c r="AP21" s="6">
        <f t="shared" si="19"/>
        <v>22180</v>
      </c>
      <c r="AQ21" s="6">
        <v>1766</v>
      </c>
      <c r="AR21" s="6">
        <f t="shared" si="20"/>
        <v>6127</v>
      </c>
      <c r="AS21" s="6">
        <v>1260</v>
      </c>
      <c r="AT21" s="6">
        <f t="shared" si="21"/>
        <v>10188</v>
      </c>
      <c r="AU21" s="6">
        <v>657</v>
      </c>
      <c r="AV21" s="6">
        <f t="shared" si="22"/>
        <v>2188</v>
      </c>
      <c r="AW21" s="6">
        <v>458</v>
      </c>
      <c r="AX21" s="6">
        <f t="shared" si="23"/>
        <v>3228</v>
      </c>
    </row>
    <row r="22" spans="1:50" x14ac:dyDescent="0.25">
      <c r="A22" s="4">
        <v>8</v>
      </c>
      <c r="B22" s="11">
        <v>38</v>
      </c>
      <c r="C22" s="4">
        <v>178</v>
      </c>
      <c r="D22" s="4">
        <f t="shared" si="0"/>
        <v>4957</v>
      </c>
      <c r="E22" s="4">
        <v>283</v>
      </c>
      <c r="F22" s="4">
        <f t="shared" si="1"/>
        <v>20389</v>
      </c>
      <c r="G22" s="4">
        <v>585</v>
      </c>
      <c r="H22" s="4">
        <f t="shared" si="2"/>
        <v>7758</v>
      </c>
      <c r="I22" s="4">
        <v>719</v>
      </c>
      <c r="J22" s="4">
        <f t="shared" si="3"/>
        <v>26600</v>
      </c>
      <c r="K22" s="4">
        <v>178</v>
      </c>
      <c r="L22" s="4">
        <f t="shared" si="4"/>
        <v>4989</v>
      </c>
      <c r="M22" s="4">
        <v>288</v>
      </c>
      <c r="N22" s="4">
        <f t="shared" si="5"/>
        <v>20506</v>
      </c>
      <c r="O22" s="4">
        <v>587</v>
      </c>
      <c r="P22" s="4">
        <f t="shared" si="6"/>
        <v>7775</v>
      </c>
      <c r="Q22" s="4">
        <v>721</v>
      </c>
      <c r="R22" s="4">
        <f t="shared" si="7"/>
        <v>26649</v>
      </c>
      <c r="S22" s="4">
        <v>696</v>
      </c>
      <c r="T22" s="4">
        <f t="shared" si="8"/>
        <v>4685</v>
      </c>
      <c r="U22" s="4">
        <v>659</v>
      </c>
      <c r="V22" s="4">
        <f t="shared" si="9"/>
        <v>9718</v>
      </c>
      <c r="W22" s="4">
        <v>287</v>
      </c>
      <c r="X22" s="4">
        <f t="shared" si="10"/>
        <v>1899</v>
      </c>
      <c r="Y22" s="4">
        <v>226</v>
      </c>
      <c r="Z22" s="4">
        <f t="shared" si="11"/>
        <v>3575</v>
      </c>
      <c r="AA22" s="4">
        <v>406</v>
      </c>
      <c r="AB22" s="4">
        <f t="shared" si="12"/>
        <v>4125</v>
      </c>
      <c r="AC22" s="4">
        <v>362</v>
      </c>
      <c r="AD22" s="4">
        <f t="shared" si="13"/>
        <v>15475</v>
      </c>
      <c r="AE22" s="4">
        <v>1098</v>
      </c>
      <c r="AF22" s="4">
        <f t="shared" si="14"/>
        <v>8771</v>
      </c>
      <c r="AG22" s="4">
        <v>845</v>
      </c>
      <c r="AH22" s="4">
        <f t="shared" si="15"/>
        <v>22966</v>
      </c>
      <c r="AI22" s="4">
        <v>419</v>
      </c>
      <c r="AJ22" s="4">
        <f t="shared" si="16"/>
        <v>4179</v>
      </c>
      <c r="AK22" s="4">
        <v>369</v>
      </c>
      <c r="AL22" s="4">
        <f t="shared" si="17"/>
        <v>15589</v>
      </c>
      <c r="AM22" s="4">
        <v>1102</v>
      </c>
      <c r="AN22" s="4">
        <f t="shared" si="18"/>
        <v>8801</v>
      </c>
      <c r="AO22" s="4">
        <v>845</v>
      </c>
      <c r="AP22" s="4">
        <f t="shared" si="19"/>
        <v>23025</v>
      </c>
      <c r="AQ22" s="4">
        <v>1108</v>
      </c>
      <c r="AR22" s="4">
        <f t="shared" si="20"/>
        <v>7235</v>
      </c>
      <c r="AS22" s="4">
        <v>702</v>
      </c>
      <c r="AT22" s="4">
        <f t="shared" si="21"/>
        <v>10890</v>
      </c>
      <c r="AU22" s="4">
        <v>425</v>
      </c>
      <c r="AV22" s="4">
        <f t="shared" si="22"/>
        <v>2613</v>
      </c>
      <c r="AW22" s="4">
        <v>226</v>
      </c>
      <c r="AX22" s="4">
        <f t="shared" si="23"/>
        <v>3454</v>
      </c>
    </row>
    <row r="23" spans="1:50" x14ac:dyDescent="0.25">
      <c r="A23" s="6">
        <v>9</v>
      </c>
      <c r="B23" s="11">
        <v>14</v>
      </c>
      <c r="C23" s="6">
        <v>115</v>
      </c>
      <c r="D23" s="6">
        <f t="shared" si="0"/>
        <v>5072</v>
      </c>
      <c r="E23" s="6">
        <v>215</v>
      </c>
      <c r="F23" s="6">
        <f t="shared" si="1"/>
        <v>20604</v>
      </c>
      <c r="G23" s="6">
        <v>367</v>
      </c>
      <c r="H23" s="6">
        <f t="shared" si="2"/>
        <v>8125</v>
      </c>
      <c r="I23" s="6">
        <v>479</v>
      </c>
      <c r="J23" s="6">
        <f t="shared" si="3"/>
        <v>27079</v>
      </c>
      <c r="K23" s="6">
        <v>118</v>
      </c>
      <c r="L23" s="6">
        <f t="shared" si="4"/>
        <v>5107</v>
      </c>
      <c r="M23" s="6">
        <v>218</v>
      </c>
      <c r="N23" s="6">
        <f t="shared" si="5"/>
        <v>20724</v>
      </c>
      <c r="O23" s="6">
        <v>370</v>
      </c>
      <c r="P23" s="6">
        <f t="shared" si="6"/>
        <v>8145</v>
      </c>
      <c r="Q23" s="6">
        <v>480</v>
      </c>
      <c r="R23" s="6">
        <f t="shared" si="7"/>
        <v>27129</v>
      </c>
      <c r="S23" s="6">
        <v>394</v>
      </c>
      <c r="T23" s="6">
        <f t="shared" si="8"/>
        <v>5079</v>
      </c>
      <c r="U23" s="6">
        <v>356</v>
      </c>
      <c r="V23" s="6">
        <f t="shared" si="9"/>
        <v>10074</v>
      </c>
      <c r="W23" s="6">
        <v>142</v>
      </c>
      <c r="X23" s="6">
        <f t="shared" si="10"/>
        <v>2041</v>
      </c>
      <c r="Y23" s="6">
        <v>94</v>
      </c>
      <c r="Z23" s="6">
        <f t="shared" si="11"/>
        <v>3669</v>
      </c>
      <c r="AA23" s="6">
        <v>366</v>
      </c>
      <c r="AB23" s="6">
        <f t="shared" si="12"/>
        <v>4491</v>
      </c>
      <c r="AC23" s="6">
        <v>300</v>
      </c>
      <c r="AD23" s="6">
        <f t="shared" si="13"/>
        <v>15775</v>
      </c>
      <c r="AE23" s="6">
        <v>878</v>
      </c>
      <c r="AF23" s="6">
        <f t="shared" si="14"/>
        <v>9649</v>
      </c>
      <c r="AG23" s="6">
        <v>599</v>
      </c>
      <c r="AH23" s="6">
        <f t="shared" si="15"/>
        <v>23565</v>
      </c>
      <c r="AI23" s="6">
        <v>371</v>
      </c>
      <c r="AJ23" s="6">
        <f t="shared" si="16"/>
        <v>4550</v>
      </c>
      <c r="AK23" s="6">
        <v>307</v>
      </c>
      <c r="AL23" s="6">
        <f t="shared" si="17"/>
        <v>15896</v>
      </c>
      <c r="AM23" s="6">
        <v>880</v>
      </c>
      <c r="AN23" s="6">
        <f t="shared" si="18"/>
        <v>9681</v>
      </c>
      <c r="AO23" s="6">
        <v>603</v>
      </c>
      <c r="AP23" s="6">
        <f t="shared" si="19"/>
        <v>23628</v>
      </c>
      <c r="AQ23" s="6">
        <v>810</v>
      </c>
      <c r="AR23" s="6">
        <f t="shared" si="20"/>
        <v>8045</v>
      </c>
      <c r="AS23" s="6">
        <v>411</v>
      </c>
      <c r="AT23" s="6">
        <f t="shared" si="21"/>
        <v>11301</v>
      </c>
      <c r="AU23" s="6">
        <v>301</v>
      </c>
      <c r="AV23" s="6">
        <f t="shared" si="22"/>
        <v>2914</v>
      </c>
      <c r="AW23" s="6">
        <v>115</v>
      </c>
      <c r="AX23" s="6">
        <f t="shared" si="23"/>
        <v>3569</v>
      </c>
    </row>
    <row r="24" spans="1:50" x14ac:dyDescent="0.25">
      <c r="A24" s="4">
        <v>10</v>
      </c>
      <c r="B24" s="11">
        <v>7</v>
      </c>
      <c r="C24" s="4">
        <v>114</v>
      </c>
      <c r="D24" s="4">
        <f t="shared" si="0"/>
        <v>5186</v>
      </c>
      <c r="E24" s="4">
        <v>370</v>
      </c>
      <c r="F24" s="4">
        <f t="shared" si="1"/>
        <v>20974</v>
      </c>
      <c r="G24" s="4">
        <v>324</v>
      </c>
      <c r="H24" s="4">
        <f t="shared" si="2"/>
        <v>8449</v>
      </c>
      <c r="I24" s="4">
        <v>574</v>
      </c>
      <c r="J24" s="4">
        <f t="shared" si="3"/>
        <v>27653</v>
      </c>
      <c r="K24" s="4">
        <v>118</v>
      </c>
      <c r="L24" s="4">
        <f t="shared" si="4"/>
        <v>5225</v>
      </c>
      <c r="M24" s="4">
        <v>373</v>
      </c>
      <c r="N24" s="4">
        <f t="shared" si="5"/>
        <v>21097</v>
      </c>
      <c r="O24" s="4">
        <v>326</v>
      </c>
      <c r="P24" s="4">
        <f t="shared" si="6"/>
        <v>8471</v>
      </c>
      <c r="Q24" s="4">
        <v>574</v>
      </c>
      <c r="R24" s="4">
        <f t="shared" si="7"/>
        <v>27703</v>
      </c>
      <c r="S24" s="4">
        <v>282</v>
      </c>
      <c r="T24" s="4">
        <f t="shared" si="8"/>
        <v>5361</v>
      </c>
      <c r="U24" s="4">
        <v>240</v>
      </c>
      <c r="V24" s="4">
        <f t="shared" si="9"/>
        <v>10314</v>
      </c>
      <c r="W24" s="4">
        <v>74</v>
      </c>
      <c r="X24" s="4">
        <f t="shared" si="10"/>
        <v>2115</v>
      </c>
      <c r="Y24" s="4">
        <v>39</v>
      </c>
      <c r="Z24" s="4">
        <f t="shared" si="11"/>
        <v>3708</v>
      </c>
      <c r="AA24" s="4">
        <v>365</v>
      </c>
      <c r="AB24" s="4">
        <f t="shared" si="12"/>
        <v>4856</v>
      </c>
      <c r="AC24" s="4">
        <v>383</v>
      </c>
      <c r="AD24" s="4">
        <f t="shared" si="13"/>
        <v>16158</v>
      </c>
      <c r="AE24" s="4">
        <v>654</v>
      </c>
      <c r="AF24" s="4">
        <f t="shared" si="14"/>
        <v>10303</v>
      </c>
      <c r="AG24" s="4">
        <v>566</v>
      </c>
      <c r="AH24" s="4">
        <f t="shared" si="15"/>
        <v>24131</v>
      </c>
      <c r="AI24" s="4">
        <v>373</v>
      </c>
      <c r="AJ24" s="4">
        <f t="shared" si="16"/>
        <v>4923</v>
      </c>
      <c r="AK24" s="4">
        <v>393</v>
      </c>
      <c r="AL24" s="4">
        <f t="shared" si="17"/>
        <v>16289</v>
      </c>
      <c r="AM24" s="4">
        <v>662</v>
      </c>
      <c r="AN24" s="4">
        <f t="shared" si="18"/>
        <v>10343</v>
      </c>
      <c r="AO24" s="4">
        <v>570</v>
      </c>
      <c r="AP24" s="4">
        <f t="shared" si="19"/>
        <v>24198</v>
      </c>
      <c r="AQ24" s="4">
        <v>427</v>
      </c>
      <c r="AR24" s="4">
        <f t="shared" si="20"/>
        <v>8472</v>
      </c>
      <c r="AS24" s="4">
        <v>223</v>
      </c>
      <c r="AT24" s="4">
        <f t="shared" si="21"/>
        <v>11524</v>
      </c>
      <c r="AU24" s="4">
        <v>138</v>
      </c>
      <c r="AV24" s="4">
        <f t="shared" si="22"/>
        <v>3052</v>
      </c>
      <c r="AW24" s="4">
        <v>46</v>
      </c>
      <c r="AX24" s="4">
        <f t="shared" si="23"/>
        <v>3615</v>
      </c>
    </row>
    <row r="25" spans="1:50" x14ac:dyDescent="0.25">
      <c r="A25" s="5" t="s">
        <v>7</v>
      </c>
      <c r="B25" s="5"/>
      <c r="C25" s="5">
        <f>SUM(C15:C24)</f>
        <v>5186</v>
      </c>
      <c r="D25" s="5"/>
      <c r="E25" s="5">
        <f>SUM(E15:E24)</f>
        <v>20974</v>
      </c>
      <c r="F25" s="5"/>
      <c r="G25" s="5">
        <f>SUM(G15:G24)</f>
        <v>8449</v>
      </c>
      <c r="H25" s="5"/>
      <c r="I25" s="5">
        <f>SUM(I15:I24)</f>
        <v>27653</v>
      </c>
      <c r="J25" s="5"/>
      <c r="K25" s="5">
        <f>SUM(K15:K24)</f>
        <v>5225</v>
      </c>
      <c r="L25" s="5"/>
      <c r="M25" s="5">
        <f>SUM(M15:M24)</f>
        <v>21097</v>
      </c>
      <c r="N25" s="5"/>
      <c r="O25" s="5">
        <f>SUM(O15:O24)</f>
        <v>8471</v>
      </c>
      <c r="P25" s="5"/>
      <c r="Q25" s="5">
        <f>SUM(Q15:Q24)</f>
        <v>27703</v>
      </c>
      <c r="R25" s="5"/>
      <c r="S25" s="5">
        <f>SUM(S15:S24)</f>
        <v>5361</v>
      </c>
      <c r="T25" s="5"/>
      <c r="U25" s="5">
        <f>SUM(U15:U24)</f>
        <v>10314</v>
      </c>
      <c r="V25" s="5"/>
      <c r="W25" s="5">
        <f>SUM(W15:W24)</f>
        <v>2115</v>
      </c>
      <c r="X25" s="5"/>
      <c r="Y25" s="5">
        <f>SUM(Y15:Y24)</f>
        <v>3708</v>
      </c>
      <c r="Z25" s="5"/>
      <c r="AA25" s="5">
        <f>SUM(AA15:AA24)</f>
        <v>4856</v>
      </c>
      <c r="AB25" s="5"/>
      <c r="AC25" s="5">
        <f>SUM(AC15:AC24)</f>
        <v>16158</v>
      </c>
      <c r="AD25" s="5"/>
      <c r="AE25" s="5">
        <f>SUM(AE15:AE24)</f>
        <v>10303</v>
      </c>
      <c r="AF25" s="5"/>
      <c r="AG25" s="5">
        <f>SUM(AG15:AG24)</f>
        <v>24131</v>
      </c>
      <c r="AH25" s="5"/>
      <c r="AI25" s="5">
        <f>SUM(AI15:AI24)</f>
        <v>4923</v>
      </c>
      <c r="AJ25" s="5"/>
      <c r="AK25" s="5">
        <f>SUM(AK15:AK24)</f>
        <v>16289</v>
      </c>
      <c r="AL25" s="5"/>
      <c r="AM25" s="5">
        <f>SUM(AM15:AM24)</f>
        <v>10343</v>
      </c>
      <c r="AN25" s="5"/>
      <c r="AO25" s="5">
        <f>SUM(AO15:AO24)</f>
        <v>24198</v>
      </c>
      <c r="AP25" s="5"/>
      <c r="AQ25" s="5">
        <f>SUM(AQ15:AQ24)</f>
        <v>8472</v>
      </c>
      <c r="AR25" s="5"/>
      <c r="AS25" s="5">
        <f>SUM(AS15:AS24)</f>
        <v>11524</v>
      </c>
      <c r="AT25" s="5"/>
      <c r="AU25" s="5">
        <f>SUM(AU15:AU24)</f>
        <v>3052</v>
      </c>
      <c r="AV25" s="5"/>
      <c r="AW25" s="5">
        <f>SUM(AW15:AW24)</f>
        <v>3615</v>
      </c>
      <c r="AX25" s="5"/>
    </row>
    <row r="28" spans="1:50" x14ac:dyDescent="0.25">
      <c r="A28" t="s">
        <v>13</v>
      </c>
    </row>
    <row r="30" spans="1:50" x14ac:dyDescent="0.25">
      <c r="A30" s="3"/>
      <c r="B30" s="3"/>
      <c r="C30" s="7" t="s">
        <v>12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9"/>
      <c r="AA30" s="7" t="s">
        <v>14</v>
      </c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9"/>
    </row>
    <row r="31" spans="1:50" x14ac:dyDescent="0.25">
      <c r="A31" s="3"/>
      <c r="B31" s="3"/>
      <c r="C31" s="7" t="s">
        <v>1</v>
      </c>
      <c r="D31" s="8"/>
      <c r="E31" s="8"/>
      <c r="F31" s="9"/>
      <c r="G31" s="7" t="s">
        <v>0</v>
      </c>
      <c r="H31" s="8"/>
      <c r="I31" s="8"/>
      <c r="J31" s="9"/>
      <c r="K31" s="7" t="s">
        <v>2</v>
      </c>
      <c r="L31" s="8"/>
      <c r="M31" s="8"/>
      <c r="N31" s="9"/>
      <c r="O31" s="7" t="s">
        <v>3</v>
      </c>
      <c r="P31" s="8"/>
      <c r="Q31" s="8"/>
      <c r="R31" s="9"/>
      <c r="S31" s="7" t="s">
        <v>4</v>
      </c>
      <c r="T31" s="8"/>
      <c r="U31" s="8"/>
      <c r="V31" s="9"/>
      <c r="W31" s="7" t="s">
        <v>5</v>
      </c>
      <c r="X31" s="8"/>
      <c r="Y31" s="8"/>
      <c r="Z31" s="9"/>
      <c r="AA31" s="7" t="s">
        <v>1</v>
      </c>
      <c r="AB31" s="8"/>
      <c r="AC31" s="8"/>
      <c r="AD31" s="9"/>
      <c r="AE31" s="7" t="s">
        <v>0</v>
      </c>
      <c r="AF31" s="8"/>
      <c r="AG31" s="8"/>
      <c r="AH31" s="9"/>
      <c r="AI31" s="7" t="s">
        <v>2</v>
      </c>
      <c r="AJ31" s="8"/>
      <c r="AK31" s="8"/>
      <c r="AL31" s="9"/>
      <c r="AM31" s="7" t="s">
        <v>3</v>
      </c>
      <c r="AN31" s="8"/>
      <c r="AO31" s="8"/>
      <c r="AP31" s="9"/>
      <c r="AQ31" s="7" t="s">
        <v>4</v>
      </c>
      <c r="AR31" s="8"/>
      <c r="AS31" s="8"/>
      <c r="AT31" s="9"/>
      <c r="AU31" s="7" t="s">
        <v>5</v>
      </c>
      <c r="AV31" s="8"/>
      <c r="AW31" s="8"/>
      <c r="AX31" s="9"/>
    </row>
    <row r="32" spans="1:50" x14ac:dyDescent="0.25">
      <c r="A32" s="3" t="s">
        <v>6</v>
      </c>
      <c r="B32" s="3" t="s">
        <v>20</v>
      </c>
      <c r="C32" s="3" t="s">
        <v>17</v>
      </c>
      <c r="D32" s="3" t="s">
        <v>19</v>
      </c>
      <c r="E32" s="3" t="s">
        <v>15</v>
      </c>
      <c r="F32" s="3" t="s">
        <v>19</v>
      </c>
      <c r="G32" s="3" t="s">
        <v>17</v>
      </c>
      <c r="H32" s="3" t="s">
        <v>19</v>
      </c>
      <c r="I32" s="3" t="s">
        <v>15</v>
      </c>
      <c r="J32" s="3" t="s">
        <v>19</v>
      </c>
      <c r="K32" s="3" t="s">
        <v>17</v>
      </c>
      <c r="L32" s="3" t="s">
        <v>19</v>
      </c>
      <c r="M32" s="3" t="s">
        <v>15</v>
      </c>
      <c r="N32" s="3" t="s">
        <v>19</v>
      </c>
      <c r="O32" s="3" t="s">
        <v>17</v>
      </c>
      <c r="P32" s="3" t="s">
        <v>19</v>
      </c>
      <c r="Q32" s="3" t="s">
        <v>15</v>
      </c>
      <c r="R32" s="3" t="s">
        <v>19</v>
      </c>
      <c r="S32" s="3" t="s">
        <v>17</v>
      </c>
      <c r="T32" s="3" t="s">
        <v>19</v>
      </c>
      <c r="U32" s="3" t="s">
        <v>15</v>
      </c>
      <c r="V32" s="3" t="s">
        <v>19</v>
      </c>
      <c r="W32" s="3" t="s">
        <v>17</v>
      </c>
      <c r="X32" s="3" t="s">
        <v>19</v>
      </c>
      <c r="Y32" s="3" t="s">
        <v>15</v>
      </c>
      <c r="Z32" s="3" t="s">
        <v>19</v>
      </c>
      <c r="AA32" s="3" t="s">
        <v>17</v>
      </c>
      <c r="AB32" s="3" t="s">
        <v>19</v>
      </c>
      <c r="AC32" s="3" t="s">
        <v>15</v>
      </c>
      <c r="AD32" s="3" t="s">
        <v>19</v>
      </c>
      <c r="AE32" s="3" t="s">
        <v>17</v>
      </c>
      <c r="AF32" s="3" t="s">
        <v>19</v>
      </c>
      <c r="AG32" s="3" t="s">
        <v>15</v>
      </c>
      <c r="AH32" s="3" t="s">
        <v>19</v>
      </c>
      <c r="AI32" s="3" t="s">
        <v>17</v>
      </c>
      <c r="AJ32" s="3" t="s">
        <v>19</v>
      </c>
      <c r="AK32" s="3" t="s">
        <v>15</v>
      </c>
      <c r="AL32" s="3" t="s">
        <v>19</v>
      </c>
      <c r="AM32" s="3" t="s">
        <v>17</v>
      </c>
      <c r="AN32" s="3" t="s">
        <v>19</v>
      </c>
      <c r="AO32" s="3" t="s">
        <v>15</v>
      </c>
      <c r="AP32" s="3" t="s">
        <v>19</v>
      </c>
      <c r="AQ32" s="3" t="s">
        <v>17</v>
      </c>
      <c r="AR32" s="3" t="s">
        <v>19</v>
      </c>
      <c r="AS32" s="3" t="s">
        <v>15</v>
      </c>
      <c r="AT32" s="3" t="s">
        <v>19</v>
      </c>
      <c r="AU32" s="3" t="s">
        <v>17</v>
      </c>
      <c r="AV32" s="3" t="s">
        <v>19</v>
      </c>
      <c r="AW32" s="3" t="s">
        <v>15</v>
      </c>
      <c r="AX32" s="3" t="s">
        <v>19</v>
      </c>
    </row>
    <row r="33" spans="1:50" x14ac:dyDescent="0.25">
      <c r="A33" s="6">
        <v>1</v>
      </c>
      <c r="B33" s="10">
        <v>653</v>
      </c>
      <c r="C33" s="6">
        <v>1063</v>
      </c>
      <c r="D33" s="6">
        <f>C33</f>
        <v>1063</v>
      </c>
      <c r="E33" s="6">
        <v>10797</v>
      </c>
      <c r="F33" s="6">
        <f>E33</f>
        <v>10797</v>
      </c>
      <c r="G33" s="6">
        <v>1148</v>
      </c>
      <c r="H33" s="6">
        <f>G33</f>
        <v>1148</v>
      </c>
      <c r="I33" s="6">
        <v>11492</v>
      </c>
      <c r="J33" s="6">
        <f>I33</f>
        <v>11492</v>
      </c>
      <c r="K33" s="6">
        <v>1066</v>
      </c>
      <c r="L33" s="6">
        <f>K33</f>
        <v>1066</v>
      </c>
      <c r="M33" s="6">
        <v>10827</v>
      </c>
      <c r="N33" s="6">
        <f>M33</f>
        <v>10827</v>
      </c>
      <c r="O33" s="6">
        <v>1151</v>
      </c>
      <c r="P33" s="6">
        <f>O33</f>
        <v>1151</v>
      </c>
      <c r="Q33" s="6">
        <v>11505</v>
      </c>
      <c r="R33" s="6">
        <f>Q33</f>
        <v>11505</v>
      </c>
      <c r="S33" s="6">
        <v>125</v>
      </c>
      <c r="T33" s="6">
        <f>S33</f>
        <v>125</v>
      </c>
      <c r="U33" s="6">
        <v>980</v>
      </c>
      <c r="V33" s="6">
        <f>U33</f>
        <v>980</v>
      </c>
      <c r="W33" s="6">
        <v>40</v>
      </c>
      <c r="X33" s="6">
        <f>W33</f>
        <v>40</v>
      </c>
      <c r="Y33" s="6">
        <v>302</v>
      </c>
      <c r="Z33" s="6">
        <f>Y33</f>
        <v>302</v>
      </c>
      <c r="AA33" s="6">
        <v>977</v>
      </c>
      <c r="AB33" s="6">
        <f>AA33</f>
        <v>977</v>
      </c>
      <c r="AC33" s="6">
        <v>7923</v>
      </c>
      <c r="AD33" s="6">
        <f>AC33</f>
        <v>7923</v>
      </c>
      <c r="AE33" s="6">
        <v>1135</v>
      </c>
      <c r="AF33" s="6">
        <f>AE33</f>
        <v>1135</v>
      </c>
      <c r="AG33" s="6">
        <v>8842</v>
      </c>
      <c r="AH33" s="6">
        <f>AG33</f>
        <v>8842</v>
      </c>
      <c r="AI33" s="6">
        <v>985</v>
      </c>
      <c r="AJ33" s="6">
        <f>AI33</f>
        <v>985</v>
      </c>
      <c r="AK33" s="6">
        <v>7956</v>
      </c>
      <c r="AL33" s="6">
        <f>AK33</f>
        <v>7956</v>
      </c>
      <c r="AM33" s="6">
        <v>1136</v>
      </c>
      <c r="AN33" s="6">
        <f>AM33</f>
        <v>1136</v>
      </c>
      <c r="AO33" s="6">
        <v>8857</v>
      </c>
      <c r="AP33" s="6">
        <f>AO33</f>
        <v>8857</v>
      </c>
      <c r="AQ33" s="6">
        <v>188</v>
      </c>
      <c r="AR33" s="6">
        <f>AQ33</f>
        <v>188</v>
      </c>
      <c r="AS33" s="6">
        <v>1175</v>
      </c>
      <c r="AT33" s="6">
        <f>AS33</f>
        <v>1175</v>
      </c>
      <c r="AU33" s="6">
        <v>37</v>
      </c>
      <c r="AV33" s="6">
        <f>AU33</f>
        <v>37</v>
      </c>
      <c r="AW33" s="6">
        <v>274</v>
      </c>
      <c r="AX33" s="6">
        <f>AW33</f>
        <v>274</v>
      </c>
    </row>
    <row r="34" spans="1:50" x14ac:dyDescent="0.25">
      <c r="A34" s="4">
        <v>2</v>
      </c>
      <c r="B34" s="11">
        <v>446</v>
      </c>
      <c r="C34" s="4">
        <v>608</v>
      </c>
      <c r="D34" s="4">
        <f>C34+D33</f>
        <v>1671</v>
      </c>
      <c r="E34" s="4">
        <v>1905</v>
      </c>
      <c r="F34" s="4">
        <f>E34+F33</f>
        <v>12702</v>
      </c>
      <c r="G34" s="4">
        <v>799</v>
      </c>
      <c r="H34" s="4">
        <f>G34+H33</f>
        <v>1947</v>
      </c>
      <c r="I34" s="4">
        <v>2600</v>
      </c>
      <c r="J34" s="4">
        <f>I34+J33</f>
        <v>14092</v>
      </c>
      <c r="K34" s="4">
        <v>609</v>
      </c>
      <c r="L34" s="4">
        <f>K34+L33</f>
        <v>1675</v>
      </c>
      <c r="M34" s="4">
        <v>1923</v>
      </c>
      <c r="N34" s="4">
        <f>M34+N33</f>
        <v>12750</v>
      </c>
      <c r="O34" s="4">
        <v>799</v>
      </c>
      <c r="P34" s="4">
        <f>O34+P33</f>
        <v>1950</v>
      </c>
      <c r="Q34" s="4">
        <v>2607</v>
      </c>
      <c r="R34" s="4">
        <f>Q34+R33</f>
        <v>14112</v>
      </c>
      <c r="S34" s="4">
        <v>331</v>
      </c>
      <c r="T34" s="4">
        <f>S34+T33</f>
        <v>456</v>
      </c>
      <c r="U34" s="4">
        <v>1265</v>
      </c>
      <c r="V34" s="4">
        <f>U34+V33</f>
        <v>2245</v>
      </c>
      <c r="W34" s="4">
        <v>141</v>
      </c>
      <c r="X34" s="4">
        <f>W34+X33</f>
        <v>181</v>
      </c>
      <c r="Y34" s="4">
        <v>581</v>
      </c>
      <c r="Z34" s="4">
        <f>Y34+Z33</f>
        <v>883</v>
      </c>
      <c r="AA34" s="4">
        <v>672</v>
      </c>
      <c r="AB34" s="4">
        <f>AA34+AB33</f>
        <v>1649</v>
      </c>
      <c r="AC34" s="4">
        <v>2250</v>
      </c>
      <c r="AD34" s="4">
        <f>AC34+AD33</f>
        <v>10173</v>
      </c>
      <c r="AE34" s="4">
        <v>1012</v>
      </c>
      <c r="AF34" s="4">
        <f>AE34+AF33</f>
        <v>2147</v>
      </c>
      <c r="AG34" s="4">
        <v>3335</v>
      </c>
      <c r="AH34" s="4">
        <f>AG34+AH33</f>
        <v>12177</v>
      </c>
      <c r="AI34" s="4">
        <v>681</v>
      </c>
      <c r="AJ34" s="4">
        <f>AI34+AJ33</f>
        <v>1666</v>
      </c>
      <c r="AK34" s="4">
        <v>2268</v>
      </c>
      <c r="AL34" s="4">
        <f>AK34+AL33</f>
        <v>10224</v>
      </c>
      <c r="AM34" s="4">
        <v>1017</v>
      </c>
      <c r="AN34" s="4">
        <f>AM34+AN33</f>
        <v>2153</v>
      </c>
      <c r="AO34" s="4">
        <v>3346</v>
      </c>
      <c r="AP34" s="4">
        <f>AO34+AP33</f>
        <v>12203</v>
      </c>
      <c r="AQ34" s="4">
        <v>501</v>
      </c>
      <c r="AR34" s="4">
        <f>AQ34+AR33</f>
        <v>689</v>
      </c>
      <c r="AS34" s="4">
        <v>1678</v>
      </c>
      <c r="AT34" s="4">
        <f>AS34+AT33</f>
        <v>2853</v>
      </c>
      <c r="AU34" s="4">
        <v>165</v>
      </c>
      <c r="AV34" s="4">
        <f>AU34+AV33</f>
        <v>202</v>
      </c>
      <c r="AW34" s="4">
        <v>600</v>
      </c>
      <c r="AX34" s="4">
        <f>AW34+AX33</f>
        <v>874</v>
      </c>
    </row>
    <row r="35" spans="1:50" x14ac:dyDescent="0.25">
      <c r="A35" s="6">
        <v>3</v>
      </c>
      <c r="B35" s="11">
        <v>315</v>
      </c>
      <c r="C35" s="6">
        <v>416</v>
      </c>
      <c r="D35" s="6">
        <f t="shared" ref="D35:D42" si="24">C35+D34</f>
        <v>2087</v>
      </c>
      <c r="E35" s="6">
        <v>989</v>
      </c>
      <c r="F35" s="6">
        <f t="shared" ref="F35:F42" si="25">E35+F34</f>
        <v>13691</v>
      </c>
      <c r="G35" s="6">
        <v>674</v>
      </c>
      <c r="H35" s="6">
        <f t="shared" ref="H35:H42" si="26">G35+H34</f>
        <v>2621</v>
      </c>
      <c r="I35" s="6">
        <v>1781</v>
      </c>
      <c r="J35" s="6">
        <f t="shared" ref="J35:J42" si="27">I35+J34</f>
        <v>15873</v>
      </c>
      <c r="K35" s="6">
        <v>423</v>
      </c>
      <c r="L35" s="6">
        <f t="shared" ref="L35:L42" si="28">K35+L34</f>
        <v>2098</v>
      </c>
      <c r="M35" s="6">
        <v>996</v>
      </c>
      <c r="N35" s="6">
        <f t="shared" ref="N35:N42" si="29">M35+N34</f>
        <v>13746</v>
      </c>
      <c r="O35" s="6">
        <v>676</v>
      </c>
      <c r="P35" s="6">
        <f t="shared" ref="P35:P42" si="30">O35+P34</f>
        <v>2626</v>
      </c>
      <c r="Q35" s="6">
        <v>1785</v>
      </c>
      <c r="R35" s="6">
        <f t="shared" ref="R35:R42" si="31">Q35+R34</f>
        <v>15897</v>
      </c>
      <c r="S35" s="6">
        <v>466</v>
      </c>
      <c r="T35" s="6">
        <f t="shared" ref="T35:T42" si="32">S35+T34</f>
        <v>922</v>
      </c>
      <c r="U35" s="6">
        <v>1372</v>
      </c>
      <c r="V35" s="6">
        <f t="shared" ref="V35:V42" si="33">U35+V34</f>
        <v>3617</v>
      </c>
      <c r="W35" s="6">
        <v>213</v>
      </c>
      <c r="X35" s="6">
        <f t="shared" ref="X35:X42" si="34">W35+X34</f>
        <v>394</v>
      </c>
      <c r="Y35" s="6">
        <v>583</v>
      </c>
      <c r="Z35" s="6">
        <f t="shared" ref="Z35:Z42" si="35">Y35+Z34</f>
        <v>1466</v>
      </c>
      <c r="AA35" s="6">
        <v>413</v>
      </c>
      <c r="AB35" s="6">
        <f t="shared" ref="AB35:AB42" si="36">AA35+AB34</f>
        <v>2062</v>
      </c>
      <c r="AC35" s="6">
        <v>1046</v>
      </c>
      <c r="AD35" s="6">
        <f t="shared" ref="AD35:AD42" si="37">AC35+AD34</f>
        <v>11219</v>
      </c>
      <c r="AE35" s="6">
        <v>870</v>
      </c>
      <c r="AF35" s="6">
        <f t="shared" ref="AF35:AF42" si="38">AE35+AF34</f>
        <v>3017</v>
      </c>
      <c r="AG35" s="6">
        <v>2238</v>
      </c>
      <c r="AH35" s="6">
        <f t="shared" ref="AH35:AH42" si="39">AG35+AH34</f>
        <v>14415</v>
      </c>
      <c r="AI35" s="6">
        <v>414</v>
      </c>
      <c r="AJ35" s="6">
        <f t="shared" ref="AJ35:AJ42" si="40">AI35+AJ34</f>
        <v>2080</v>
      </c>
      <c r="AK35" s="6">
        <v>1055</v>
      </c>
      <c r="AL35" s="6">
        <f t="shared" ref="AL35:AL42" si="41">AK35+AL34</f>
        <v>11279</v>
      </c>
      <c r="AM35" s="6">
        <v>871</v>
      </c>
      <c r="AN35" s="6">
        <f t="shared" ref="AN35:AN42" si="42">AM35+AN34</f>
        <v>3024</v>
      </c>
      <c r="AO35" s="6">
        <v>2244</v>
      </c>
      <c r="AP35" s="6">
        <f t="shared" ref="AP35:AP42" si="43">AO35+AP34</f>
        <v>14447</v>
      </c>
      <c r="AQ35" s="6">
        <v>736</v>
      </c>
      <c r="AR35" s="6">
        <f t="shared" ref="AR35:AR42" si="44">AQ35+AR34</f>
        <v>1425</v>
      </c>
      <c r="AS35" s="6">
        <v>1770</v>
      </c>
      <c r="AT35" s="6">
        <f t="shared" ref="AT35:AT42" si="45">AS35+AT34</f>
        <v>4623</v>
      </c>
      <c r="AU35" s="6">
        <v>279</v>
      </c>
      <c r="AV35" s="6">
        <f t="shared" ref="AV35:AV42" si="46">AU35+AV34</f>
        <v>481</v>
      </c>
      <c r="AW35" s="6">
        <v>581</v>
      </c>
      <c r="AX35" s="6">
        <f t="shared" ref="AX35:AX42" si="47">AW35+AX34</f>
        <v>1455</v>
      </c>
    </row>
    <row r="36" spans="1:50" x14ac:dyDescent="0.25">
      <c r="A36" s="4">
        <v>4</v>
      </c>
      <c r="B36" s="11">
        <v>189</v>
      </c>
      <c r="C36" s="4">
        <v>270</v>
      </c>
      <c r="D36" s="4">
        <f t="shared" si="24"/>
        <v>2357</v>
      </c>
      <c r="E36" s="4">
        <v>639</v>
      </c>
      <c r="F36" s="4">
        <f t="shared" si="25"/>
        <v>14330</v>
      </c>
      <c r="G36" s="4">
        <v>483</v>
      </c>
      <c r="H36" s="4">
        <f t="shared" si="26"/>
        <v>3104</v>
      </c>
      <c r="I36" s="4">
        <v>1267</v>
      </c>
      <c r="J36" s="4">
        <f t="shared" si="27"/>
        <v>17140</v>
      </c>
      <c r="K36" s="4">
        <v>276</v>
      </c>
      <c r="L36" s="4">
        <f t="shared" si="28"/>
        <v>2374</v>
      </c>
      <c r="M36" s="4">
        <v>647</v>
      </c>
      <c r="N36" s="4">
        <f t="shared" si="29"/>
        <v>14393</v>
      </c>
      <c r="O36" s="4">
        <v>483</v>
      </c>
      <c r="P36" s="4">
        <f t="shared" si="30"/>
        <v>3109</v>
      </c>
      <c r="Q36" s="4">
        <v>1270</v>
      </c>
      <c r="R36" s="4">
        <f t="shared" si="31"/>
        <v>17167</v>
      </c>
      <c r="S36" s="4">
        <v>538</v>
      </c>
      <c r="T36" s="4">
        <f t="shared" si="32"/>
        <v>1460</v>
      </c>
      <c r="U36" s="4">
        <v>1259</v>
      </c>
      <c r="V36" s="4">
        <f t="shared" si="33"/>
        <v>4876</v>
      </c>
      <c r="W36" s="4">
        <v>331</v>
      </c>
      <c r="X36" s="4">
        <f t="shared" si="34"/>
        <v>725</v>
      </c>
      <c r="Y36" s="4">
        <v>636</v>
      </c>
      <c r="Z36" s="4">
        <f t="shared" si="35"/>
        <v>2102</v>
      </c>
      <c r="AA36" s="4">
        <v>204</v>
      </c>
      <c r="AB36" s="4">
        <f t="shared" si="36"/>
        <v>2266</v>
      </c>
      <c r="AC36" s="4">
        <v>665</v>
      </c>
      <c r="AD36" s="4">
        <f t="shared" si="37"/>
        <v>11884</v>
      </c>
      <c r="AE36" s="4">
        <v>635</v>
      </c>
      <c r="AF36" s="4">
        <f t="shared" si="38"/>
        <v>3652</v>
      </c>
      <c r="AG36" s="4">
        <v>1624</v>
      </c>
      <c r="AH36" s="4">
        <f t="shared" si="39"/>
        <v>16039</v>
      </c>
      <c r="AI36" s="4">
        <v>207</v>
      </c>
      <c r="AJ36" s="4">
        <f t="shared" si="40"/>
        <v>2287</v>
      </c>
      <c r="AK36" s="4">
        <v>676</v>
      </c>
      <c r="AL36" s="4">
        <f t="shared" si="41"/>
        <v>11955</v>
      </c>
      <c r="AM36" s="4">
        <v>638</v>
      </c>
      <c r="AN36" s="4">
        <f t="shared" si="42"/>
        <v>3662</v>
      </c>
      <c r="AO36" s="4">
        <v>1629</v>
      </c>
      <c r="AP36" s="4">
        <f t="shared" si="43"/>
        <v>16076</v>
      </c>
      <c r="AQ36" s="4">
        <v>842</v>
      </c>
      <c r="AR36" s="4">
        <f t="shared" si="44"/>
        <v>2267</v>
      </c>
      <c r="AS36" s="4">
        <v>1561</v>
      </c>
      <c r="AT36" s="4">
        <f t="shared" si="45"/>
        <v>6184</v>
      </c>
      <c r="AU36" s="4">
        <v>411</v>
      </c>
      <c r="AV36" s="4">
        <f t="shared" si="46"/>
        <v>892</v>
      </c>
      <c r="AW36" s="4">
        <v>608</v>
      </c>
      <c r="AX36" s="4">
        <f t="shared" si="47"/>
        <v>2063</v>
      </c>
    </row>
    <row r="37" spans="1:50" x14ac:dyDescent="0.25">
      <c r="A37" s="6">
        <v>5</v>
      </c>
      <c r="B37" s="11">
        <v>121</v>
      </c>
      <c r="C37" s="6">
        <v>164</v>
      </c>
      <c r="D37" s="6">
        <f t="shared" si="24"/>
        <v>2521</v>
      </c>
      <c r="E37" s="6">
        <v>454</v>
      </c>
      <c r="F37" s="6">
        <f t="shared" si="25"/>
        <v>14784</v>
      </c>
      <c r="G37" s="6">
        <v>343</v>
      </c>
      <c r="H37" s="6">
        <f t="shared" si="26"/>
        <v>3447</v>
      </c>
      <c r="I37" s="6">
        <v>972</v>
      </c>
      <c r="J37" s="6">
        <f t="shared" si="27"/>
        <v>18112</v>
      </c>
      <c r="K37" s="6">
        <v>167</v>
      </c>
      <c r="L37" s="6">
        <f t="shared" si="28"/>
        <v>2541</v>
      </c>
      <c r="M37" s="6">
        <v>459</v>
      </c>
      <c r="N37" s="6">
        <f t="shared" si="29"/>
        <v>14852</v>
      </c>
      <c r="O37" s="6">
        <v>345</v>
      </c>
      <c r="P37" s="6">
        <f t="shared" si="30"/>
        <v>3454</v>
      </c>
      <c r="Q37" s="6">
        <v>974</v>
      </c>
      <c r="R37" s="6">
        <f t="shared" si="31"/>
        <v>18141</v>
      </c>
      <c r="S37" s="6">
        <v>379</v>
      </c>
      <c r="T37" s="6">
        <f t="shared" si="32"/>
        <v>1839</v>
      </c>
      <c r="U37" s="6">
        <v>925</v>
      </c>
      <c r="V37" s="6">
        <f t="shared" si="33"/>
        <v>5801</v>
      </c>
      <c r="W37" s="6">
        <v>201</v>
      </c>
      <c r="X37" s="6">
        <f t="shared" si="34"/>
        <v>926</v>
      </c>
      <c r="Y37" s="6">
        <v>410</v>
      </c>
      <c r="Z37" s="6">
        <f t="shared" si="35"/>
        <v>2512</v>
      </c>
      <c r="AA37" s="6">
        <v>196</v>
      </c>
      <c r="AB37" s="6">
        <f t="shared" si="36"/>
        <v>2462</v>
      </c>
      <c r="AC37" s="6">
        <v>276</v>
      </c>
      <c r="AD37" s="6">
        <f t="shared" si="37"/>
        <v>12160</v>
      </c>
      <c r="AE37" s="6">
        <v>627</v>
      </c>
      <c r="AF37" s="6">
        <f t="shared" si="38"/>
        <v>4279</v>
      </c>
      <c r="AG37" s="6">
        <v>910</v>
      </c>
      <c r="AH37" s="6">
        <f t="shared" si="39"/>
        <v>16949</v>
      </c>
      <c r="AI37" s="6">
        <v>199</v>
      </c>
      <c r="AJ37" s="6">
        <f t="shared" si="40"/>
        <v>2486</v>
      </c>
      <c r="AK37" s="6">
        <v>283</v>
      </c>
      <c r="AL37" s="6">
        <f t="shared" si="41"/>
        <v>12238</v>
      </c>
      <c r="AM37" s="6">
        <v>629</v>
      </c>
      <c r="AN37" s="6">
        <f t="shared" si="42"/>
        <v>4291</v>
      </c>
      <c r="AO37" s="6">
        <v>912</v>
      </c>
      <c r="AP37" s="6">
        <f t="shared" si="43"/>
        <v>16988</v>
      </c>
      <c r="AQ37" s="6">
        <v>681</v>
      </c>
      <c r="AR37" s="6">
        <f t="shared" si="44"/>
        <v>2948</v>
      </c>
      <c r="AS37" s="6">
        <v>996</v>
      </c>
      <c r="AT37" s="6">
        <f t="shared" si="45"/>
        <v>7180</v>
      </c>
      <c r="AU37" s="6">
        <v>251</v>
      </c>
      <c r="AV37" s="6">
        <f t="shared" si="46"/>
        <v>1143</v>
      </c>
      <c r="AW37" s="6">
        <v>367</v>
      </c>
      <c r="AX37" s="6">
        <f t="shared" si="47"/>
        <v>2430</v>
      </c>
    </row>
    <row r="38" spans="1:50" x14ac:dyDescent="0.25">
      <c r="A38" s="4">
        <v>6</v>
      </c>
      <c r="B38" s="11">
        <v>95</v>
      </c>
      <c r="C38" s="4">
        <v>256</v>
      </c>
      <c r="D38" s="4">
        <f t="shared" si="24"/>
        <v>2777</v>
      </c>
      <c r="E38" s="4">
        <v>373</v>
      </c>
      <c r="F38" s="4">
        <f t="shared" si="25"/>
        <v>15157</v>
      </c>
      <c r="G38" s="4">
        <v>607</v>
      </c>
      <c r="H38" s="4">
        <f t="shared" si="26"/>
        <v>4054</v>
      </c>
      <c r="I38" s="4">
        <v>871</v>
      </c>
      <c r="J38" s="4">
        <f t="shared" si="27"/>
        <v>18983</v>
      </c>
      <c r="K38" s="4">
        <v>258</v>
      </c>
      <c r="L38" s="4">
        <f t="shared" si="28"/>
        <v>2799</v>
      </c>
      <c r="M38" s="4">
        <v>378</v>
      </c>
      <c r="N38" s="4">
        <f t="shared" si="29"/>
        <v>15230</v>
      </c>
      <c r="O38" s="4">
        <v>608</v>
      </c>
      <c r="P38" s="4">
        <f t="shared" si="30"/>
        <v>4062</v>
      </c>
      <c r="Q38" s="4">
        <v>874</v>
      </c>
      <c r="R38" s="4">
        <f t="shared" si="31"/>
        <v>19015</v>
      </c>
      <c r="S38" s="4">
        <v>613</v>
      </c>
      <c r="T38" s="4">
        <f t="shared" si="32"/>
        <v>2452</v>
      </c>
      <c r="U38" s="4">
        <v>853</v>
      </c>
      <c r="V38" s="4">
        <f t="shared" si="33"/>
        <v>6654</v>
      </c>
      <c r="W38" s="4">
        <v>263</v>
      </c>
      <c r="X38" s="4">
        <f t="shared" si="34"/>
        <v>1189</v>
      </c>
      <c r="Y38" s="4">
        <v>357</v>
      </c>
      <c r="Z38" s="4">
        <f t="shared" si="35"/>
        <v>2869</v>
      </c>
      <c r="AA38" s="4">
        <v>275</v>
      </c>
      <c r="AB38" s="4">
        <f t="shared" si="36"/>
        <v>2737</v>
      </c>
      <c r="AC38" s="4">
        <v>259</v>
      </c>
      <c r="AD38" s="4">
        <f t="shared" si="37"/>
        <v>12419</v>
      </c>
      <c r="AE38" s="4">
        <v>824</v>
      </c>
      <c r="AF38" s="4">
        <f t="shared" si="38"/>
        <v>5103</v>
      </c>
      <c r="AG38" s="4">
        <v>825</v>
      </c>
      <c r="AH38" s="4">
        <f t="shared" si="39"/>
        <v>17774</v>
      </c>
      <c r="AI38" s="4">
        <v>278</v>
      </c>
      <c r="AJ38" s="4">
        <f t="shared" si="40"/>
        <v>2764</v>
      </c>
      <c r="AK38" s="4">
        <v>268</v>
      </c>
      <c r="AL38" s="4">
        <f t="shared" si="41"/>
        <v>12506</v>
      </c>
      <c r="AM38" s="4">
        <v>827</v>
      </c>
      <c r="AN38" s="4">
        <f t="shared" si="42"/>
        <v>5118</v>
      </c>
      <c r="AO38" s="4">
        <v>827</v>
      </c>
      <c r="AP38" s="4">
        <f t="shared" si="43"/>
        <v>17815</v>
      </c>
      <c r="AQ38" s="4">
        <v>930</v>
      </c>
      <c r="AR38" s="4">
        <f t="shared" si="44"/>
        <v>3878</v>
      </c>
      <c r="AS38" s="4">
        <v>880</v>
      </c>
      <c r="AT38" s="4">
        <f t="shared" si="45"/>
        <v>8060</v>
      </c>
      <c r="AU38" s="4">
        <v>381</v>
      </c>
      <c r="AV38" s="4">
        <f t="shared" si="46"/>
        <v>1524</v>
      </c>
      <c r="AW38" s="4">
        <v>321</v>
      </c>
      <c r="AX38" s="4">
        <f t="shared" si="47"/>
        <v>2751</v>
      </c>
    </row>
    <row r="39" spans="1:50" x14ac:dyDescent="0.25">
      <c r="A39" s="6">
        <v>7</v>
      </c>
      <c r="B39" s="11">
        <v>67</v>
      </c>
      <c r="C39" s="6">
        <v>296</v>
      </c>
      <c r="D39" s="6">
        <f t="shared" si="24"/>
        <v>3073</v>
      </c>
      <c r="E39" s="6">
        <v>412</v>
      </c>
      <c r="F39" s="6">
        <f t="shared" si="25"/>
        <v>15569</v>
      </c>
      <c r="G39" s="6">
        <v>913</v>
      </c>
      <c r="H39" s="6">
        <f t="shared" si="26"/>
        <v>4967</v>
      </c>
      <c r="I39" s="6">
        <v>1098</v>
      </c>
      <c r="J39" s="6">
        <f t="shared" si="27"/>
        <v>20081</v>
      </c>
      <c r="K39" s="6">
        <v>300</v>
      </c>
      <c r="L39" s="6">
        <f t="shared" si="28"/>
        <v>3099</v>
      </c>
      <c r="M39" s="6">
        <v>418</v>
      </c>
      <c r="N39" s="6">
        <f t="shared" si="29"/>
        <v>15648</v>
      </c>
      <c r="O39" s="6">
        <v>916</v>
      </c>
      <c r="P39" s="6">
        <f t="shared" si="30"/>
        <v>4978</v>
      </c>
      <c r="Q39" s="6">
        <v>1098</v>
      </c>
      <c r="R39" s="6">
        <f t="shared" si="31"/>
        <v>20113</v>
      </c>
      <c r="S39" s="6">
        <v>1025</v>
      </c>
      <c r="T39" s="6">
        <f t="shared" si="32"/>
        <v>3477</v>
      </c>
      <c r="U39" s="6">
        <v>1126</v>
      </c>
      <c r="V39" s="6">
        <f t="shared" si="33"/>
        <v>7780</v>
      </c>
      <c r="W39" s="6">
        <v>409</v>
      </c>
      <c r="X39" s="6">
        <f t="shared" si="34"/>
        <v>1598</v>
      </c>
      <c r="Y39" s="6">
        <v>446</v>
      </c>
      <c r="Z39" s="6">
        <f t="shared" si="35"/>
        <v>3315</v>
      </c>
      <c r="AA39" s="6">
        <v>341</v>
      </c>
      <c r="AB39" s="6">
        <f t="shared" si="36"/>
        <v>3078</v>
      </c>
      <c r="AC39" s="6">
        <v>444</v>
      </c>
      <c r="AD39" s="6">
        <f t="shared" si="37"/>
        <v>12863</v>
      </c>
      <c r="AE39" s="6">
        <v>1452</v>
      </c>
      <c r="AF39" s="6">
        <f t="shared" si="38"/>
        <v>6555</v>
      </c>
      <c r="AG39" s="6">
        <v>1246</v>
      </c>
      <c r="AH39" s="6">
        <f t="shared" si="39"/>
        <v>19020</v>
      </c>
      <c r="AI39" s="6">
        <v>349</v>
      </c>
      <c r="AJ39" s="6">
        <f t="shared" si="40"/>
        <v>3113</v>
      </c>
      <c r="AK39" s="6">
        <v>449</v>
      </c>
      <c r="AL39" s="6">
        <f t="shared" si="41"/>
        <v>12955</v>
      </c>
      <c r="AM39" s="6">
        <v>1457</v>
      </c>
      <c r="AN39" s="6">
        <f t="shared" si="42"/>
        <v>6575</v>
      </c>
      <c r="AO39" s="6">
        <v>1250</v>
      </c>
      <c r="AP39" s="6">
        <f t="shared" si="43"/>
        <v>19065</v>
      </c>
      <c r="AQ39" s="6">
        <v>1765</v>
      </c>
      <c r="AR39" s="6">
        <f t="shared" si="44"/>
        <v>5643</v>
      </c>
      <c r="AS39" s="6">
        <v>1259</v>
      </c>
      <c r="AT39" s="6">
        <f t="shared" si="45"/>
        <v>9319</v>
      </c>
      <c r="AU39" s="6">
        <v>657</v>
      </c>
      <c r="AV39" s="6">
        <f t="shared" si="46"/>
        <v>2181</v>
      </c>
      <c r="AW39" s="6">
        <v>458</v>
      </c>
      <c r="AX39" s="6">
        <f t="shared" si="47"/>
        <v>3209</v>
      </c>
    </row>
    <row r="40" spans="1:50" x14ac:dyDescent="0.25">
      <c r="A40" s="4">
        <v>8</v>
      </c>
      <c r="B40" s="11">
        <v>38</v>
      </c>
      <c r="C40" s="4">
        <v>177</v>
      </c>
      <c r="D40" s="4">
        <f t="shared" si="24"/>
        <v>3250</v>
      </c>
      <c r="E40" s="4">
        <v>274</v>
      </c>
      <c r="F40" s="4">
        <f t="shared" si="25"/>
        <v>15843</v>
      </c>
      <c r="G40" s="4">
        <v>583</v>
      </c>
      <c r="H40" s="4">
        <f t="shared" si="26"/>
        <v>5550</v>
      </c>
      <c r="I40" s="4">
        <v>709</v>
      </c>
      <c r="J40" s="4">
        <f t="shared" si="27"/>
        <v>20790</v>
      </c>
      <c r="K40" s="4">
        <v>177</v>
      </c>
      <c r="L40" s="4">
        <f t="shared" si="28"/>
        <v>3276</v>
      </c>
      <c r="M40" s="4">
        <v>279</v>
      </c>
      <c r="N40" s="4">
        <f t="shared" si="29"/>
        <v>15927</v>
      </c>
      <c r="O40" s="4">
        <v>585</v>
      </c>
      <c r="P40" s="4">
        <f t="shared" si="30"/>
        <v>5563</v>
      </c>
      <c r="Q40" s="4">
        <v>711</v>
      </c>
      <c r="R40" s="4">
        <f t="shared" si="31"/>
        <v>20824</v>
      </c>
      <c r="S40" s="4">
        <v>695</v>
      </c>
      <c r="T40" s="4">
        <f t="shared" si="32"/>
        <v>4172</v>
      </c>
      <c r="U40" s="4">
        <v>658</v>
      </c>
      <c r="V40" s="4">
        <f t="shared" si="33"/>
        <v>8438</v>
      </c>
      <c r="W40" s="4">
        <v>287</v>
      </c>
      <c r="X40" s="4">
        <f t="shared" si="34"/>
        <v>1885</v>
      </c>
      <c r="Y40" s="4">
        <v>226</v>
      </c>
      <c r="Z40" s="4">
        <f t="shared" si="35"/>
        <v>3541</v>
      </c>
      <c r="AA40" s="4">
        <v>405</v>
      </c>
      <c r="AB40" s="4">
        <f t="shared" si="36"/>
        <v>3483</v>
      </c>
      <c r="AC40" s="4">
        <v>359</v>
      </c>
      <c r="AD40" s="4">
        <f t="shared" si="37"/>
        <v>13222</v>
      </c>
      <c r="AE40" s="4">
        <v>1095</v>
      </c>
      <c r="AF40" s="4">
        <f t="shared" si="38"/>
        <v>7650</v>
      </c>
      <c r="AG40" s="4">
        <v>842</v>
      </c>
      <c r="AH40" s="4">
        <f t="shared" si="39"/>
        <v>19862</v>
      </c>
      <c r="AI40" s="4">
        <v>418</v>
      </c>
      <c r="AJ40" s="4">
        <f t="shared" si="40"/>
        <v>3531</v>
      </c>
      <c r="AK40" s="4">
        <v>366</v>
      </c>
      <c r="AL40" s="4">
        <f t="shared" si="41"/>
        <v>13321</v>
      </c>
      <c r="AM40" s="4">
        <v>1099</v>
      </c>
      <c r="AN40" s="4">
        <f t="shared" si="42"/>
        <v>7674</v>
      </c>
      <c r="AO40" s="4">
        <v>842</v>
      </c>
      <c r="AP40" s="4">
        <f t="shared" si="43"/>
        <v>19907</v>
      </c>
      <c r="AQ40" s="4">
        <v>1106</v>
      </c>
      <c r="AR40" s="4">
        <f t="shared" si="44"/>
        <v>6749</v>
      </c>
      <c r="AS40" s="4">
        <v>702</v>
      </c>
      <c r="AT40" s="4">
        <f t="shared" si="45"/>
        <v>10021</v>
      </c>
      <c r="AU40" s="4">
        <v>425</v>
      </c>
      <c r="AV40" s="4">
        <f t="shared" si="46"/>
        <v>2606</v>
      </c>
      <c r="AW40" s="4">
        <v>226</v>
      </c>
      <c r="AX40" s="4">
        <f t="shared" si="47"/>
        <v>3435</v>
      </c>
    </row>
    <row r="41" spans="1:50" x14ac:dyDescent="0.25">
      <c r="A41" s="6">
        <v>9</v>
      </c>
      <c r="B41" s="11">
        <v>14</v>
      </c>
      <c r="C41" s="6">
        <v>114</v>
      </c>
      <c r="D41" s="6">
        <f t="shared" si="24"/>
        <v>3364</v>
      </c>
      <c r="E41" s="6">
        <v>210</v>
      </c>
      <c r="F41" s="6">
        <f t="shared" si="25"/>
        <v>16053</v>
      </c>
      <c r="G41" s="6">
        <v>366</v>
      </c>
      <c r="H41" s="6">
        <f t="shared" si="26"/>
        <v>5916</v>
      </c>
      <c r="I41" s="6">
        <v>474</v>
      </c>
      <c r="J41" s="6">
        <f t="shared" si="27"/>
        <v>21264</v>
      </c>
      <c r="K41" s="6">
        <v>117</v>
      </c>
      <c r="L41" s="6">
        <f t="shared" si="28"/>
        <v>3393</v>
      </c>
      <c r="M41" s="6">
        <v>213</v>
      </c>
      <c r="N41" s="6">
        <f t="shared" si="29"/>
        <v>16140</v>
      </c>
      <c r="O41" s="6">
        <v>369</v>
      </c>
      <c r="P41" s="6">
        <f t="shared" si="30"/>
        <v>5932</v>
      </c>
      <c r="Q41" s="6">
        <v>475</v>
      </c>
      <c r="R41" s="6">
        <f t="shared" si="31"/>
        <v>21299</v>
      </c>
      <c r="S41" s="6">
        <v>394</v>
      </c>
      <c r="T41" s="6">
        <f t="shared" si="32"/>
        <v>4566</v>
      </c>
      <c r="U41" s="6">
        <v>356</v>
      </c>
      <c r="V41" s="6">
        <f t="shared" si="33"/>
        <v>8794</v>
      </c>
      <c r="W41" s="6">
        <v>142</v>
      </c>
      <c r="X41" s="6">
        <f t="shared" si="34"/>
        <v>2027</v>
      </c>
      <c r="Y41" s="6">
        <v>94</v>
      </c>
      <c r="Z41" s="6">
        <f t="shared" si="35"/>
        <v>3635</v>
      </c>
      <c r="AA41" s="6">
        <v>366</v>
      </c>
      <c r="AB41" s="6">
        <f t="shared" si="36"/>
        <v>3849</v>
      </c>
      <c r="AC41" s="6">
        <v>298</v>
      </c>
      <c r="AD41" s="6">
        <f t="shared" si="37"/>
        <v>13520</v>
      </c>
      <c r="AE41" s="6">
        <v>878</v>
      </c>
      <c r="AF41" s="6">
        <f t="shared" si="38"/>
        <v>8528</v>
      </c>
      <c r="AG41" s="6">
        <v>597</v>
      </c>
      <c r="AH41" s="6">
        <f t="shared" si="39"/>
        <v>20459</v>
      </c>
      <c r="AI41" s="6">
        <v>371</v>
      </c>
      <c r="AJ41" s="6">
        <f t="shared" si="40"/>
        <v>3902</v>
      </c>
      <c r="AK41" s="6">
        <v>305</v>
      </c>
      <c r="AL41" s="6">
        <f t="shared" si="41"/>
        <v>13626</v>
      </c>
      <c r="AM41" s="6">
        <v>880</v>
      </c>
      <c r="AN41" s="6">
        <f t="shared" si="42"/>
        <v>8554</v>
      </c>
      <c r="AO41" s="6">
        <v>601</v>
      </c>
      <c r="AP41" s="6">
        <f t="shared" si="43"/>
        <v>20508</v>
      </c>
      <c r="AQ41" s="6">
        <v>810</v>
      </c>
      <c r="AR41" s="6">
        <f t="shared" si="44"/>
        <v>7559</v>
      </c>
      <c r="AS41" s="6">
        <v>411</v>
      </c>
      <c r="AT41" s="6">
        <f t="shared" si="45"/>
        <v>10432</v>
      </c>
      <c r="AU41" s="6">
        <v>301</v>
      </c>
      <c r="AV41" s="6">
        <f t="shared" si="46"/>
        <v>2907</v>
      </c>
      <c r="AW41" s="6">
        <v>115</v>
      </c>
      <c r="AX41" s="6">
        <f t="shared" si="47"/>
        <v>3550</v>
      </c>
    </row>
    <row r="42" spans="1:50" x14ac:dyDescent="0.25">
      <c r="A42" s="4">
        <v>10</v>
      </c>
      <c r="B42" s="11">
        <v>7</v>
      </c>
      <c r="C42" s="4">
        <v>113</v>
      </c>
      <c r="D42" s="4">
        <f t="shared" si="24"/>
        <v>3477</v>
      </c>
      <c r="E42" s="4">
        <v>362</v>
      </c>
      <c r="F42" s="4">
        <f t="shared" si="25"/>
        <v>16415</v>
      </c>
      <c r="G42" s="4">
        <v>323</v>
      </c>
      <c r="H42" s="4">
        <f t="shared" si="26"/>
        <v>6239</v>
      </c>
      <c r="I42" s="4">
        <v>566</v>
      </c>
      <c r="J42" s="4">
        <f t="shared" si="27"/>
        <v>21830</v>
      </c>
      <c r="K42" s="4">
        <v>117</v>
      </c>
      <c r="L42" s="4">
        <f t="shared" si="28"/>
        <v>3510</v>
      </c>
      <c r="M42" s="4">
        <v>365</v>
      </c>
      <c r="N42" s="4">
        <f t="shared" si="29"/>
        <v>16505</v>
      </c>
      <c r="O42" s="4">
        <v>325</v>
      </c>
      <c r="P42" s="4">
        <f t="shared" si="30"/>
        <v>6257</v>
      </c>
      <c r="Q42" s="4">
        <v>566</v>
      </c>
      <c r="R42" s="4">
        <f t="shared" si="31"/>
        <v>21865</v>
      </c>
      <c r="S42" s="4">
        <v>282</v>
      </c>
      <c r="T42" s="4">
        <f t="shared" si="32"/>
        <v>4848</v>
      </c>
      <c r="U42" s="4">
        <v>240</v>
      </c>
      <c r="V42" s="4">
        <f t="shared" si="33"/>
        <v>9034</v>
      </c>
      <c r="W42" s="4">
        <v>74</v>
      </c>
      <c r="X42" s="4">
        <f t="shared" si="34"/>
        <v>2101</v>
      </c>
      <c r="Y42" s="4">
        <v>39</v>
      </c>
      <c r="Z42" s="4">
        <f t="shared" si="35"/>
        <v>3674</v>
      </c>
      <c r="AA42" s="4">
        <v>364</v>
      </c>
      <c r="AB42" s="4">
        <f t="shared" si="36"/>
        <v>4213</v>
      </c>
      <c r="AC42" s="4">
        <v>378</v>
      </c>
      <c r="AD42" s="4">
        <f t="shared" si="37"/>
        <v>13898</v>
      </c>
      <c r="AE42" s="4">
        <v>653</v>
      </c>
      <c r="AF42" s="4">
        <f t="shared" si="38"/>
        <v>9181</v>
      </c>
      <c r="AG42" s="4">
        <v>561</v>
      </c>
      <c r="AH42" s="4">
        <f t="shared" si="39"/>
        <v>21020</v>
      </c>
      <c r="AI42" s="4">
        <v>372</v>
      </c>
      <c r="AJ42" s="4">
        <f t="shared" si="40"/>
        <v>4274</v>
      </c>
      <c r="AK42" s="4">
        <v>388</v>
      </c>
      <c r="AL42" s="4">
        <f t="shared" si="41"/>
        <v>14014</v>
      </c>
      <c r="AM42" s="4">
        <v>661</v>
      </c>
      <c r="AN42" s="4">
        <f t="shared" si="42"/>
        <v>9215</v>
      </c>
      <c r="AO42" s="4">
        <v>565</v>
      </c>
      <c r="AP42" s="4">
        <f t="shared" si="43"/>
        <v>21073</v>
      </c>
      <c r="AQ42" s="4">
        <v>427</v>
      </c>
      <c r="AR42" s="4">
        <f t="shared" si="44"/>
        <v>7986</v>
      </c>
      <c r="AS42" s="4">
        <v>223</v>
      </c>
      <c r="AT42" s="4">
        <f t="shared" si="45"/>
        <v>10655</v>
      </c>
      <c r="AU42" s="4">
        <v>138</v>
      </c>
      <c r="AV42" s="4">
        <f t="shared" si="46"/>
        <v>3045</v>
      </c>
      <c r="AW42" s="4">
        <v>46</v>
      </c>
      <c r="AX42" s="4">
        <f t="shared" si="47"/>
        <v>3596</v>
      </c>
    </row>
    <row r="43" spans="1:50" x14ac:dyDescent="0.25">
      <c r="A43" s="5" t="s">
        <v>7</v>
      </c>
      <c r="B43" s="5"/>
      <c r="C43" s="5">
        <f>SUM(C33:C42)</f>
        <v>3477</v>
      </c>
      <c r="D43" s="5"/>
      <c r="E43" s="5">
        <f>SUM(E33:E42)</f>
        <v>16415</v>
      </c>
      <c r="F43" s="5"/>
      <c r="G43" s="5">
        <f>SUM(G33:G42)</f>
        <v>6239</v>
      </c>
      <c r="H43" s="5"/>
      <c r="I43" s="5">
        <f>SUM(I33:I42)</f>
        <v>21830</v>
      </c>
      <c r="J43" s="5"/>
      <c r="K43" s="5">
        <f>SUM(K33:K42)</f>
        <v>3510</v>
      </c>
      <c r="L43" s="5"/>
      <c r="M43" s="5">
        <f>SUM(M33:M42)</f>
        <v>16505</v>
      </c>
      <c r="N43" s="5"/>
      <c r="O43" s="5">
        <f>SUM(O33:O42)</f>
        <v>6257</v>
      </c>
      <c r="P43" s="5"/>
      <c r="Q43" s="5">
        <f>SUM(Q33:Q42)</f>
        <v>21865</v>
      </c>
      <c r="R43" s="5"/>
      <c r="S43" s="5">
        <f>SUM(S33:S42)</f>
        <v>4848</v>
      </c>
      <c r="T43" s="5"/>
      <c r="U43" s="5">
        <f>SUM(U33:U42)</f>
        <v>9034</v>
      </c>
      <c r="V43" s="5"/>
      <c r="W43" s="5">
        <f>SUM(W33:W42)</f>
        <v>2101</v>
      </c>
      <c r="X43" s="5"/>
      <c r="Y43" s="5">
        <f>SUM(Y33:Y42)</f>
        <v>3674</v>
      </c>
      <c r="Z43" s="5"/>
      <c r="AA43" s="5">
        <f>SUM(AA33:AA42)</f>
        <v>4213</v>
      </c>
      <c r="AB43" s="5"/>
      <c r="AC43" s="5">
        <f>SUM(AC33:AC42)</f>
        <v>13898</v>
      </c>
      <c r="AD43" s="5"/>
      <c r="AE43" s="5">
        <f>SUM(AE33:AE42)</f>
        <v>9181</v>
      </c>
      <c r="AF43" s="5"/>
      <c r="AG43" s="5">
        <f>SUM(AG33:AG42)</f>
        <v>21020</v>
      </c>
      <c r="AH43" s="5"/>
      <c r="AI43" s="5">
        <f>SUM(AI33:AI42)</f>
        <v>4274</v>
      </c>
      <c r="AJ43" s="5"/>
      <c r="AK43" s="5">
        <f>SUM(AK33:AK42)</f>
        <v>14014</v>
      </c>
      <c r="AL43" s="5"/>
      <c r="AM43" s="5">
        <f>SUM(AM33:AM42)</f>
        <v>9215</v>
      </c>
      <c r="AN43" s="5"/>
      <c r="AO43" s="5">
        <f>SUM(AO33:AO42)</f>
        <v>21073</v>
      </c>
      <c r="AP43" s="5"/>
      <c r="AQ43" s="5">
        <f>SUM(AQ33:AQ42)</f>
        <v>7986</v>
      </c>
      <c r="AR43" s="5"/>
      <c r="AS43" s="5">
        <f>SUM(AS33:AS42)</f>
        <v>10655</v>
      </c>
      <c r="AT43" s="5"/>
      <c r="AU43" s="5">
        <f>SUM(AU33:AU42)</f>
        <v>3045</v>
      </c>
      <c r="AV43" s="5"/>
      <c r="AW43" s="5">
        <f>SUM(AW33:AW42)</f>
        <v>3596</v>
      </c>
      <c r="AX43" s="5"/>
    </row>
    <row r="46" spans="1:50" x14ac:dyDescent="0.25">
      <c r="A46" t="s">
        <v>16</v>
      </c>
    </row>
    <row r="48" spans="1:50" x14ac:dyDescent="0.25">
      <c r="A48" t="s">
        <v>8</v>
      </c>
    </row>
    <row r="50" spans="1:50" x14ac:dyDescent="0.25">
      <c r="A50" s="3"/>
      <c r="B50" s="3"/>
      <c r="C50" s="7" t="s">
        <v>12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9"/>
      <c r="AA50" s="7" t="s">
        <v>14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9"/>
    </row>
    <row r="51" spans="1:50" x14ac:dyDescent="0.25">
      <c r="A51" s="3"/>
      <c r="B51" s="3"/>
      <c r="C51" s="7" t="s">
        <v>1</v>
      </c>
      <c r="D51" s="8"/>
      <c r="E51" s="8"/>
      <c r="F51" s="9"/>
      <c r="G51" s="7" t="s">
        <v>0</v>
      </c>
      <c r="H51" s="8"/>
      <c r="I51" s="8"/>
      <c r="J51" s="9"/>
      <c r="K51" s="7" t="s">
        <v>2</v>
      </c>
      <c r="L51" s="8"/>
      <c r="M51" s="8"/>
      <c r="N51" s="9"/>
      <c r="O51" s="7" t="s">
        <v>3</v>
      </c>
      <c r="P51" s="8"/>
      <c r="Q51" s="8"/>
      <c r="R51" s="9"/>
      <c r="S51" s="7" t="s">
        <v>4</v>
      </c>
      <c r="T51" s="8"/>
      <c r="U51" s="8"/>
      <c r="V51" s="9"/>
      <c r="W51" s="7" t="s">
        <v>5</v>
      </c>
      <c r="X51" s="8"/>
      <c r="Y51" s="8"/>
      <c r="Z51" s="9"/>
      <c r="AA51" s="7" t="s">
        <v>1</v>
      </c>
      <c r="AB51" s="8"/>
      <c r="AC51" s="8"/>
      <c r="AD51" s="9"/>
      <c r="AE51" s="7" t="s">
        <v>0</v>
      </c>
      <c r="AF51" s="8"/>
      <c r="AG51" s="8"/>
      <c r="AH51" s="9"/>
      <c r="AI51" s="7" t="s">
        <v>2</v>
      </c>
      <c r="AJ51" s="8"/>
      <c r="AK51" s="8"/>
      <c r="AL51" s="9"/>
      <c r="AM51" s="7" t="s">
        <v>3</v>
      </c>
      <c r="AN51" s="8"/>
      <c r="AO51" s="8"/>
      <c r="AP51" s="9"/>
      <c r="AQ51" s="7" t="s">
        <v>4</v>
      </c>
      <c r="AR51" s="8"/>
      <c r="AS51" s="8"/>
      <c r="AT51" s="9"/>
      <c r="AU51" s="7" t="s">
        <v>5</v>
      </c>
      <c r="AV51" s="8"/>
      <c r="AW51" s="8"/>
      <c r="AX51" s="9"/>
    </row>
    <row r="52" spans="1:50" x14ac:dyDescent="0.25">
      <c r="A52" s="3" t="s">
        <v>6</v>
      </c>
      <c r="B52" s="3" t="s">
        <v>20</v>
      </c>
      <c r="C52" s="3" t="s">
        <v>18</v>
      </c>
      <c r="D52" s="3" t="s">
        <v>19</v>
      </c>
      <c r="E52" s="3" t="s">
        <v>15</v>
      </c>
      <c r="F52" s="3" t="s">
        <v>19</v>
      </c>
      <c r="G52" s="3" t="s">
        <v>18</v>
      </c>
      <c r="H52" s="3" t="s">
        <v>19</v>
      </c>
      <c r="I52" s="3" t="s">
        <v>15</v>
      </c>
      <c r="J52" s="3" t="s">
        <v>19</v>
      </c>
      <c r="K52" s="3" t="s">
        <v>18</v>
      </c>
      <c r="L52" s="3" t="s">
        <v>19</v>
      </c>
      <c r="M52" s="3" t="s">
        <v>15</v>
      </c>
      <c r="N52" s="3" t="s">
        <v>19</v>
      </c>
      <c r="O52" s="3" t="s">
        <v>18</v>
      </c>
      <c r="P52" s="3" t="s">
        <v>19</v>
      </c>
      <c r="Q52" s="3" t="s">
        <v>15</v>
      </c>
      <c r="R52" s="3" t="s">
        <v>19</v>
      </c>
      <c r="S52" s="3" t="s">
        <v>18</v>
      </c>
      <c r="T52" s="3" t="s">
        <v>19</v>
      </c>
      <c r="U52" s="3" t="s">
        <v>15</v>
      </c>
      <c r="V52" s="3" t="s">
        <v>19</v>
      </c>
      <c r="W52" s="3" t="s">
        <v>18</v>
      </c>
      <c r="X52" s="3" t="s">
        <v>19</v>
      </c>
      <c r="Y52" s="3" t="s">
        <v>15</v>
      </c>
      <c r="Z52" s="3" t="s">
        <v>19</v>
      </c>
      <c r="AA52" s="3" t="s">
        <v>18</v>
      </c>
      <c r="AB52" s="3" t="s">
        <v>19</v>
      </c>
      <c r="AC52" s="3" t="s">
        <v>15</v>
      </c>
      <c r="AD52" s="3" t="s">
        <v>19</v>
      </c>
      <c r="AE52" s="3" t="s">
        <v>18</v>
      </c>
      <c r="AF52" s="3" t="s">
        <v>19</v>
      </c>
      <c r="AG52" s="3" t="s">
        <v>15</v>
      </c>
      <c r="AH52" s="3" t="s">
        <v>19</v>
      </c>
      <c r="AI52" s="3" t="s">
        <v>18</v>
      </c>
      <c r="AJ52" s="3" t="s">
        <v>19</v>
      </c>
      <c r="AK52" s="3" t="s">
        <v>15</v>
      </c>
      <c r="AL52" s="3" t="s">
        <v>19</v>
      </c>
      <c r="AM52" s="3" t="s">
        <v>18</v>
      </c>
      <c r="AN52" s="3" t="s">
        <v>19</v>
      </c>
      <c r="AO52" s="3" t="s">
        <v>15</v>
      </c>
      <c r="AP52" s="3" t="s">
        <v>19</v>
      </c>
      <c r="AQ52" s="3" t="s">
        <v>18</v>
      </c>
      <c r="AR52" s="3" t="s">
        <v>19</v>
      </c>
      <c r="AS52" s="3" t="s">
        <v>15</v>
      </c>
      <c r="AT52" s="3" t="s">
        <v>19</v>
      </c>
      <c r="AU52" s="3" t="s">
        <v>18</v>
      </c>
      <c r="AV52" s="3" t="s">
        <v>19</v>
      </c>
      <c r="AW52" s="3" t="s">
        <v>15</v>
      </c>
      <c r="AX52" s="3" t="s">
        <v>19</v>
      </c>
    </row>
    <row r="53" spans="1:50" x14ac:dyDescent="0.25">
      <c r="A53" s="6">
        <v>1</v>
      </c>
      <c r="B53" s="10">
        <v>653</v>
      </c>
      <c r="C53" s="6">
        <v>2185</v>
      </c>
      <c r="D53" s="6">
        <f>C53</f>
        <v>2185</v>
      </c>
      <c r="E53" s="6">
        <v>11432</v>
      </c>
      <c r="F53" s="6">
        <f>E53</f>
        <v>11432</v>
      </c>
      <c r="G53" s="6">
        <v>2374</v>
      </c>
      <c r="H53" s="6">
        <f>G53</f>
        <v>2374</v>
      </c>
      <c r="I53" s="6">
        <v>12246</v>
      </c>
      <c r="J53" s="6">
        <f>I53</f>
        <v>12246</v>
      </c>
      <c r="K53" s="6">
        <v>2192</v>
      </c>
      <c r="L53" s="6">
        <f>K53</f>
        <v>2192</v>
      </c>
      <c r="M53" s="6">
        <v>11463</v>
      </c>
      <c r="N53" s="6">
        <f>M53</f>
        <v>11463</v>
      </c>
      <c r="O53" s="6">
        <v>2377</v>
      </c>
      <c r="P53" s="6">
        <f>O53</f>
        <v>2377</v>
      </c>
      <c r="Q53" s="6">
        <v>12263</v>
      </c>
      <c r="R53" s="6">
        <f>Q53</f>
        <v>12263</v>
      </c>
      <c r="S53" s="6">
        <v>244</v>
      </c>
      <c r="T53" s="6">
        <f>S53</f>
        <v>244</v>
      </c>
      <c r="U53" s="6">
        <v>1091</v>
      </c>
      <c r="V53" s="6">
        <f>U53</f>
        <v>1091</v>
      </c>
      <c r="W53" s="6">
        <v>59</v>
      </c>
      <c r="X53" s="6">
        <f>W53</f>
        <v>59</v>
      </c>
      <c r="Y53" s="6">
        <v>291</v>
      </c>
      <c r="Z53" s="6">
        <f>Y53</f>
        <v>291</v>
      </c>
      <c r="AA53" s="6">
        <v>1300</v>
      </c>
      <c r="AB53" s="6">
        <f>AA53</f>
        <v>1300</v>
      </c>
      <c r="AC53" s="6">
        <v>7923</v>
      </c>
      <c r="AD53" s="6">
        <f>AC53</f>
        <v>7923</v>
      </c>
      <c r="AE53" s="6">
        <v>1528</v>
      </c>
      <c r="AF53" s="6">
        <f>AE53</f>
        <v>1528</v>
      </c>
      <c r="AG53" s="6">
        <v>8859</v>
      </c>
      <c r="AH53" s="6">
        <f>AG53</f>
        <v>8859</v>
      </c>
      <c r="AI53" s="6">
        <v>1311</v>
      </c>
      <c r="AJ53" s="6">
        <f>AI53</f>
        <v>1311</v>
      </c>
      <c r="AK53" s="6">
        <v>7955</v>
      </c>
      <c r="AL53" s="6">
        <f>AK53</f>
        <v>7955</v>
      </c>
      <c r="AM53" s="6">
        <v>1529</v>
      </c>
      <c r="AN53" s="6">
        <f>AM53</f>
        <v>1529</v>
      </c>
      <c r="AO53" s="6">
        <v>8875</v>
      </c>
      <c r="AP53" s="6">
        <f>AO53</f>
        <v>8875</v>
      </c>
      <c r="AQ53" s="6">
        <v>270</v>
      </c>
      <c r="AR53" s="6">
        <f>AQ53</f>
        <v>270</v>
      </c>
      <c r="AS53" s="6">
        <v>1183</v>
      </c>
      <c r="AT53" s="6">
        <f>AS53</f>
        <v>1183</v>
      </c>
      <c r="AU53" s="6">
        <v>52</v>
      </c>
      <c r="AV53" s="6">
        <f>AU53</f>
        <v>52</v>
      </c>
      <c r="AW53" s="6">
        <v>263</v>
      </c>
      <c r="AX53" s="6">
        <f>AW53</f>
        <v>263</v>
      </c>
    </row>
    <row r="54" spans="1:50" x14ac:dyDescent="0.25">
      <c r="A54" s="4">
        <v>2</v>
      </c>
      <c r="B54" s="11">
        <v>446</v>
      </c>
      <c r="C54" s="4">
        <v>1250</v>
      </c>
      <c r="D54" s="4">
        <f>C54+D53</f>
        <v>3435</v>
      </c>
      <c r="E54" s="4">
        <v>3658</v>
      </c>
      <c r="F54" s="4">
        <f>E54+F53</f>
        <v>15090</v>
      </c>
      <c r="G54" s="4">
        <v>1608</v>
      </c>
      <c r="H54" s="4">
        <f>G54+H53</f>
        <v>3982</v>
      </c>
      <c r="I54" s="4">
        <v>4663</v>
      </c>
      <c r="J54" s="4">
        <f>I54+J53</f>
        <v>16909</v>
      </c>
      <c r="K54" s="4">
        <v>1256</v>
      </c>
      <c r="L54" s="4">
        <f>K54+L53</f>
        <v>3448</v>
      </c>
      <c r="M54" s="4">
        <v>3686</v>
      </c>
      <c r="N54" s="4">
        <f>M54+N53</f>
        <v>15149</v>
      </c>
      <c r="O54" s="4">
        <v>1610</v>
      </c>
      <c r="P54" s="4">
        <f>O54+P53</f>
        <v>3987</v>
      </c>
      <c r="Q54" s="4">
        <v>4676</v>
      </c>
      <c r="R54" s="4">
        <f>Q54+R53</f>
        <v>16939</v>
      </c>
      <c r="S54" s="4">
        <v>544</v>
      </c>
      <c r="T54" s="4">
        <f>S54+T53</f>
        <v>788</v>
      </c>
      <c r="U54" s="4">
        <v>1554</v>
      </c>
      <c r="V54" s="4">
        <f>U54+V53</f>
        <v>2645</v>
      </c>
      <c r="W54" s="4">
        <v>190</v>
      </c>
      <c r="X54" s="4">
        <f>W54+X53</f>
        <v>249</v>
      </c>
      <c r="Y54" s="4">
        <v>564</v>
      </c>
      <c r="Z54" s="4">
        <f>Y54+Z53</f>
        <v>855</v>
      </c>
      <c r="AA54" s="4">
        <v>933</v>
      </c>
      <c r="AB54" s="4">
        <f>AA54+AB53</f>
        <v>2233</v>
      </c>
      <c r="AC54" s="4">
        <v>2739</v>
      </c>
      <c r="AD54" s="4">
        <f>AC54+AD53</f>
        <v>10662</v>
      </c>
      <c r="AE54" s="4">
        <v>1438</v>
      </c>
      <c r="AF54" s="4">
        <f>AE54+AF53</f>
        <v>2966</v>
      </c>
      <c r="AG54" s="4">
        <v>3926</v>
      </c>
      <c r="AH54" s="4">
        <f>AG54+AH53</f>
        <v>12785</v>
      </c>
      <c r="AI54" s="4">
        <v>947</v>
      </c>
      <c r="AJ54" s="4">
        <f>AI54+AJ53</f>
        <v>2258</v>
      </c>
      <c r="AK54" s="4">
        <v>2757</v>
      </c>
      <c r="AL54" s="4">
        <f>AK54+AL53</f>
        <v>10712</v>
      </c>
      <c r="AM54" s="4">
        <v>1447</v>
      </c>
      <c r="AN54" s="4">
        <f>AM54+AN53</f>
        <v>2976</v>
      </c>
      <c r="AO54" s="4">
        <v>3936</v>
      </c>
      <c r="AP54" s="4">
        <f>AO54+AP53</f>
        <v>12811</v>
      </c>
      <c r="AQ54" s="4">
        <v>714</v>
      </c>
      <c r="AR54" s="4">
        <f>AQ54+AR53</f>
        <v>984</v>
      </c>
      <c r="AS54" s="4">
        <v>1744</v>
      </c>
      <c r="AT54" s="4">
        <f>AS54+AT53</f>
        <v>2927</v>
      </c>
      <c r="AU54" s="4">
        <v>214</v>
      </c>
      <c r="AV54" s="4">
        <f>AU54+AV53</f>
        <v>266</v>
      </c>
      <c r="AW54" s="4">
        <v>565</v>
      </c>
      <c r="AX54" s="4">
        <f>AW54+AX53</f>
        <v>828</v>
      </c>
    </row>
    <row r="55" spans="1:50" x14ac:dyDescent="0.25">
      <c r="A55" s="6">
        <v>3</v>
      </c>
      <c r="B55" s="11">
        <v>315</v>
      </c>
      <c r="C55" s="6">
        <v>830</v>
      </c>
      <c r="D55" s="6">
        <f t="shared" ref="D55:D62" si="48">C55+D54</f>
        <v>4265</v>
      </c>
      <c r="E55" s="6">
        <v>1740</v>
      </c>
      <c r="F55" s="6">
        <f t="shared" ref="F55:F62" si="49">E55+F54</f>
        <v>16830</v>
      </c>
      <c r="G55" s="6">
        <v>1365</v>
      </c>
      <c r="H55" s="6">
        <f t="shared" ref="H55:H62" si="50">G55+H54</f>
        <v>5347</v>
      </c>
      <c r="I55" s="6">
        <v>2703</v>
      </c>
      <c r="J55" s="6">
        <f t="shared" ref="J55:J62" si="51">I55+J54</f>
        <v>19612</v>
      </c>
      <c r="K55" s="6">
        <v>841</v>
      </c>
      <c r="L55" s="6">
        <f t="shared" ref="L55:L62" si="52">K55+L54</f>
        <v>4289</v>
      </c>
      <c r="M55" s="6">
        <v>1755</v>
      </c>
      <c r="N55" s="6">
        <f t="shared" ref="N55:N62" si="53">M55+N54</f>
        <v>16904</v>
      </c>
      <c r="O55" s="6">
        <v>1369</v>
      </c>
      <c r="P55" s="6">
        <f t="shared" ref="P55:P62" si="54">O55+P54</f>
        <v>5356</v>
      </c>
      <c r="Q55" s="6">
        <v>2709</v>
      </c>
      <c r="R55" s="6">
        <f t="shared" ref="R55:R62" si="55">Q55+R54</f>
        <v>19648</v>
      </c>
      <c r="S55" s="6">
        <v>812</v>
      </c>
      <c r="T55" s="6">
        <f t="shared" ref="T55:T62" si="56">S55+T54</f>
        <v>1600</v>
      </c>
      <c r="U55" s="6">
        <v>1477</v>
      </c>
      <c r="V55" s="6">
        <f t="shared" ref="V55:V62" si="57">U55+V54</f>
        <v>4122</v>
      </c>
      <c r="W55" s="6">
        <v>284</v>
      </c>
      <c r="X55" s="6">
        <f t="shared" ref="X55:X62" si="58">W55+X54</f>
        <v>533</v>
      </c>
      <c r="Y55" s="6">
        <v>523</v>
      </c>
      <c r="Z55" s="6">
        <f t="shared" ref="Z55:Z62" si="59">Y55+Z54</f>
        <v>1378</v>
      </c>
      <c r="AA55" s="6">
        <v>753</v>
      </c>
      <c r="AB55" s="6">
        <f t="shared" ref="AB55:AB62" si="60">AA55+AB54</f>
        <v>2986</v>
      </c>
      <c r="AC55" s="6">
        <v>1528</v>
      </c>
      <c r="AD55" s="6">
        <f t="shared" ref="AD55:AD62" si="61">AC55+AD54</f>
        <v>12190</v>
      </c>
      <c r="AE55" s="6">
        <v>1502</v>
      </c>
      <c r="AF55" s="6">
        <f t="shared" ref="AF55:AF62" si="62">AE55+AF54</f>
        <v>4468</v>
      </c>
      <c r="AG55" s="6">
        <v>2806</v>
      </c>
      <c r="AH55" s="6">
        <f t="shared" ref="AH55:AH62" si="63">AG55+AH54</f>
        <v>15591</v>
      </c>
      <c r="AI55" s="6">
        <v>759</v>
      </c>
      <c r="AJ55" s="6">
        <f t="shared" ref="AJ55:AJ62" si="64">AI55+AJ54</f>
        <v>3017</v>
      </c>
      <c r="AK55" s="6">
        <v>1539</v>
      </c>
      <c r="AL55" s="6">
        <f t="shared" ref="AL55:AL62" si="65">AK55+AL54</f>
        <v>12251</v>
      </c>
      <c r="AM55" s="6">
        <v>1508</v>
      </c>
      <c r="AN55" s="6">
        <f t="shared" ref="AN55:AN62" si="66">AM55+AN54</f>
        <v>4484</v>
      </c>
      <c r="AO55" s="6">
        <v>2815</v>
      </c>
      <c r="AP55" s="6">
        <f t="shared" ref="AP55:AP62" si="67">AO55+AP54</f>
        <v>15626</v>
      </c>
      <c r="AQ55" s="6">
        <v>1092</v>
      </c>
      <c r="AR55" s="6">
        <f t="shared" ref="AR55:AR62" si="68">AQ55+AR54</f>
        <v>2076</v>
      </c>
      <c r="AS55" s="6">
        <v>1819</v>
      </c>
      <c r="AT55" s="6">
        <f t="shared" ref="AT55:AT62" si="69">AS55+AT54</f>
        <v>4746</v>
      </c>
      <c r="AU55" s="6">
        <v>343</v>
      </c>
      <c r="AV55" s="6">
        <f t="shared" ref="AV55:AV62" si="70">AU55+AV54</f>
        <v>609</v>
      </c>
      <c r="AW55" s="6">
        <v>543</v>
      </c>
      <c r="AX55" s="6">
        <f t="shared" ref="AX55:AX62" si="71">AW55+AX54</f>
        <v>1371</v>
      </c>
    </row>
    <row r="56" spans="1:50" x14ac:dyDescent="0.25">
      <c r="A56" s="4">
        <v>4</v>
      </c>
      <c r="B56" s="11">
        <v>189</v>
      </c>
      <c r="C56" s="4">
        <v>510</v>
      </c>
      <c r="D56" s="4">
        <f t="shared" si="48"/>
        <v>4775</v>
      </c>
      <c r="E56" s="4">
        <v>1034</v>
      </c>
      <c r="F56" s="4">
        <f t="shared" si="49"/>
        <v>17864</v>
      </c>
      <c r="G56" s="4">
        <v>1026</v>
      </c>
      <c r="H56" s="4">
        <f t="shared" si="50"/>
        <v>6373</v>
      </c>
      <c r="I56" s="4">
        <v>1731</v>
      </c>
      <c r="J56" s="4">
        <f t="shared" si="51"/>
        <v>21343</v>
      </c>
      <c r="K56" s="4">
        <v>519</v>
      </c>
      <c r="L56" s="4">
        <f t="shared" si="52"/>
        <v>4808</v>
      </c>
      <c r="M56" s="4">
        <v>1045</v>
      </c>
      <c r="N56" s="4">
        <f t="shared" si="53"/>
        <v>17949</v>
      </c>
      <c r="O56" s="4">
        <v>1027</v>
      </c>
      <c r="P56" s="4">
        <f t="shared" si="54"/>
        <v>6383</v>
      </c>
      <c r="Q56" s="4">
        <v>1735</v>
      </c>
      <c r="R56" s="4">
        <f t="shared" si="55"/>
        <v>21383</v>
      </c>
      <c r="S56" s="4">
        <v>945</v>
      </c>
      <c r="T56" s="4">
        <f t="shared" si="56"/>
        <v>2545</v>
      </c>
      <c r="U56" s="4">
        <v>1237</v>
      </c>
      <c r="V56" s="4">
        <f t="shared" si="57"/>
        <v>5359</v>
      </c>
      <c r="W56" s="4">
        <v>437</v>
      </c>
      <c r="X56" s="4">
        <f t="shared" si="58"/>
        <v>970</v>
      </c>
      <c r="Y56" s="4">
        <v>547</v>
      </c>
      <c r="Z56" s="4">
        <f t="shared" si="59"/>
        <v>1925</v>
      </c>
      <c r="AA56" s="4">
        <v>451</v>
      </c>
      <c r="AB56" s="4">
        <f t="shared" si="60"/>
        <v>3437</v>
      </c>
      <c r="AC56" s="4">
        <v>877</v>
      </c>
      <c r="AD56" s="4">
        <f t="shared" si="61"/>
        <v>13067</v>
      </c>
      <c r="AE56" s="4">
        <v>1160</v>
      </c>
      <c r="AF56" s="4">
        <f t="shared" si="62"/>
        <v>5628</v>
      </c>
      <c r="AG56" s="4">
        <v>1835</v>
      </c>
      <c r="AH56" s="4">
        <f t="shared" si="63"/>
        <v>17426</v>
      </c>
      <c r="AI56" s="4">
        <v>457</v>
      </c>
      <c r="AJ56" s="4">
        <f t="shared" si="64"/>
        <v>3474</v>
      </c>
      <c r="AK56" s="4">
        <v>891</v>
      </c>
      <c r="AL56" s="4">
        <f t="shared" si="65"/>
        <v>13142</v>
      </c>
      <c r="AM56" s="4">
        <v>1166</v>
      </c>
      <c r="AN56" s="4">
        <f t="shared" si="66"/>
        <v>5650</v>
      </c>
      <c r="AO56" s="4">
        <v>1842</v>
      </c>
      <c r="AP56" s="4">
        <f t="shared" si="67"/>
        <v>17468</v>
      </c>
      <c r="AQ56" s="4">
        <v>1286</v>
      </c>
      <c r="AR56" s="4">
        <f t="shared" si="68"/>
        <v>3362</v>
      </c>
      <c r="AS56" s="4">
        <v>1472</v>
      </c>
      <c r="AT56" s="4">
        <f t="shared" si="69"/>
        <v>6218</v>
      </c>
      <c r="AU56" s="4">
        <v>577</v>
      </c>
      <c r="AV56" s="4">
        <f t="shared" si="70"/>
        <v>1186</v>
      </c>
      <c r="AW56" s="4">
        <v>521</v>
      </c>
      <c r="AX56" s="4">
        <f t="shared" si="71"/>
        <v>1892</v>
      </c>
    </row>
    <row r="57" spans="1:50" x14ac:dyDescent="0.25">
      <c r="A57" s="6">
        <v>5</v>
      </c>
      <c r="B57" s="11">
        <v>121</v>
      </c>
      <c r="C57" s="6">
        <v>385</v>
      </c>
      <c r="D57" s="6">
        <f t="shared" si="48"/>
        <v>5160</v>
      </c>
      <c r="E57" s="6">
        <v>594</v>
      </c>
      <c r="F57" s="6">
        <f t="shared" si="49"/>
        <v>18458</v>
      </c>
      <c r="G57" s="6">
        <v>846</v>
      </c>
      <c r="H57" s="6">
        <f t="shared" si="50"/>
        <v>7219</v>
      </c>
      <c r="I57" s="6">
        <v>1136</v>
      </c>
      <c r="J57" s="6">
        <f t="shared" si="51"/>
        <v>22479</v>
      </c>
      <c r="K57" s="6">
        <v>392</v>
      </c>
      <c r="L57" s="6">
        <f t="shared" si="52"/>
        <v>5200</v>
      </c>
      <c r="M57" s="6">
        <v>602</v>
      </c>
      <c r="N57" s="6">
        <f t="shared" si="53"/>
        <v>18551</v>
      </c>
      <c r="O57" s="6">
        <v>850</v>
      </c>
      <c r="P57" s="6">
        <f t="shared" si="54"/>
        <v>7233</v>
      </c>
      <c r="Q57" s="6">
        <v>1137</v>
      </c>
      <c r="R57" s="6">
        <f t="shared" si="55"/>
        <v>22520</v>
      </c>
      <c r="S57" s="6">
        <v>738</v>
      </c>
      <c r="T57" s="6">
        <f t="shared" si="56"/>
        <v>3283</v>
      </c>
      <c r="U57" s="6">
        <v>857</v>
      </c>
      <c r="V57" s="6">
        <f t="shared" si="57"/>
        <v>6216</v>
      </c>
      <c r="W57" s="6">
        <v>280</v>
      </c>
      <c r="X57" s="6">
        <f t="shared" si="58"/>
        <v>1250</v>
      </c>
      <c r="Y57" s="6">
        <v>322</v>
      </c>
      <c r="Z57" s="6">
        <f t="shared" si="59"/>
        <v>2247</v>
      </c>
      <c r="AA57" s="6">
        <v>393</v>
      </c>
      <c r="AB57" s="6">
        <f t="shared" si="60"/>
        <v>3830</v>
      </c>
      <c r="AC57" s="6">
        <v>524</v>
      </c>
      <c r="AD57" s="6">
        <f t="shared" si="61"/>
        <v>13591</v>
      </c>
      <c r="AE57" s="6">
        <v>1111</v>
      </c>
      <c r="AF57" s="6">
        <f t="shared" si="62"/>
        <v>6739</v>
      </c>
      <c r="AG57" s="6">
        <v>1224</v>
      </c>
      <c r="AH57" s="6">
        <f t="shared" si="63"/>
        <v>18650</v>
      </c>
      <c r="AI57" s="6">
        <v>399</v>
      </c>
      <c r="AJ57" s="6">
        <f t="shared" si="64"/>
        <v>3873</v>
      </c>
      <c r="AK57" s="6">
        <v>531</v>
      </c>
      <c r="AL57" s="6">
        <f t="shared" si="65"/>
        <v>13673</v>
      </c>
      <c r="AM57" s="6">
        <v>1116</v>
      </c>
      <c r="AN57" s="6">
        <f t="shared" si="66"/>
        <v>6766</v>
      </c>
      <c r="AO57" s="6">
        <v>1228</v>
      </c>
      <c r="AP57" s="6">
        <f t="shared" si="67"/>
        <v>18696</v>
      </c>
      <c r="AQ57" s="6">
        <v>1067</v>
      </c>
      <c r="AR57" s="6">
        <f t="shared" si="68"/>
        <v>4429</v>
      </c>
      <c r="AS57" s="6">
        <v>1017</v>
      </c>
      <c r="AT57" s="6">
        <f t="shared" si="69"/>
        <v>7235</v>
      </c>
      <c r="AU57" s="6">
        <v>350</v>
      </c>
      <c r="AV57" s="6">
        <f t="shared" si="70"/>
        <v>1536</v>
      </c>
      <c r="AW57" s="6">
        <v>320</v>
      </c>
      <c r="AX57" s="6">
        <f t="shared" si="71"/>
        <v>2212</v>
      </c>
    </row>
    <row r="58" spans="1:50" x14ac:dyDescent="0.25">
      <c r="A58" s="4">
        <v>6</v>
      </c>
      <c r="B58" s="11">
        <v>95</v>
      </c>
      <c r="C58" s="4">
        <v>342</v>
      </c>
      <c r="D58" s="4">
        <f t="shared" si="48"/>
        <v>5502</v>
      </c>
      <c r="E58" s="4">
        <v>423</v>
      </c>
      <c r="F58" s="4">
        <f t="shared" si="49"/>
        <v>18881</v>
      </c>
      <c r="G58" s="4">
        <v>920</v>
      </c>
      <c r="H58" s="4">
        <f t="shared" si="50"/>
        <v>8139</v>
      </c>
      <c r="I58" s="4">
        <v>879</v>
      </c>
      <c r="J58" s="4">
        <f t="shared" si="51"/>
        <v>23358</v>
      </c>
      <c r="K58" s="4">
        <v>345</v>
      </c>
      <c r="L58" s="4">
        <f t="shared" si="52"/>
        <v>5545</v>
      </c>
      <c r="M58" s="4">
        <v>428</v>
      </c>
      <c r="N58" s="4">
        <f t="shared" si="53"/>
        <v>18979</v>
      </c>
      <c r="O58" s="4">
        <v>923</v>
      </c>
      <c r="P58" s="4">
        <f t="shared" si="54"/>
        <v>8156</v>
      </c>
      <c r="Q58" s="4">
        <v>882</v>
      </c>
      <c r="R58" s="4">
        <f t="shared" si="55"/>
        <v>23402</v>
      </c>
      <c r="S58" s="4">
        <v>968</v>
      </c>
      <c r="T58" s="4">
        <f t="shared" si="56"/>
        <v>4251</v>
      </c>
      <c r="U58" s="4">
        <v>734</v>
      </c>
      <c r="V58" s="4">
        <f t="shared" si="57"/>
        <v>6950</v>
      </c>
      <c r="W58" s="4">
        <v>390</v>
      </c>
      <c r="X58" s="4">
        <f t="shared" si="58"/>
        <v>1640</v>
      </c>
      <c r="Y58" s="4">
        <v>280</v>
      </c>
      <c r="Z58" s="4">
        <f t="shared" si="59"/>
        <v>2527</v>
      </c>
      <c r="AA58" s="4">
        <v>413</v>
      </c>
      <c r="AB58" s="4">
        <f t="shared" si="60"/>
        <v>4243</v>
      </c>
      <c r="AC58" s="4">
        <v>463</v>
      </c>
      <c r="AD58" s="4">
        <f t="shared" si="61"/>
        <v>14054</v>
      </c>
      <c r="AE58" s="4">
        <v>1297</v>
      </c>
      <c r="AF58" s="4">
        <f t="shared" si="62"/>
        <v>8036</v>
      </c>
      <c r="AG58" s="4">
        <v>1066</v>
      </c>
      <c r="AH58" s="4">
        <f t="shared" si="63"/>
        <v>19716</v>
      </c>
      <c r="AI58" s="4">
        <v>418</v>
      </c>
      <c r="AJ58" s="4">
        <f t="shared" si="64"/>
        <v>4291</v>
      </c>
      <c r="AK58" s="4">
        <v>473</v>
      </c>
      <c r="AL58" s="4">
        <f t="shared" si="65"/>
        <v>14146</v>
      </c>
      <c r="AM58" s="4">
        <v>1300</v>
      </c>
      <c r="AN58" s="4">
        <f t="shared" si="66"/>
        <v>8066</v>
      </c>
      <c r="AO58" s="4">
        <v>1070</v>
      </c>
      <c r="AP58" s="4">
        <f t="shared" si="67"/>
        <v>19766</v>
      </c>
      <c r="AQ58" s="4">
        <v>1390</v>
      </c>
      <c r="AR58" s="4">
        <f t="shared" si="68"/>
        <v>5819</v>
      </c>
      <c r="AS58" s="4">
        <v>855</v>
      </c>
      <c r="AT58" s="4">
        <f t="shared" si="69"/>
        <v>8090</v>
      </c>
      <c r="AU58" s="4">
        <v>508</v>
      </c>
      <c r="AV58" s="4">
        <f t="shared" si="70"/>
        <v>2044</v>
      </c>
      <c r="AW58" s="4">
        <v>258</v>
      </c>
      <c r="AX58" s="4">
        <f t="shared" si="71"/>
        <v>2470</v>
      </c>
    </row>
    <row r="59" spans="1:50" x14ac:dyDescent="0.25">
      <c r="A59" s="6">
        <v>7</v>
      </c>
      <c r="B59" s="11">
        <v>67</v>
      </c>
      <c r="C59" s="6">
        <v>372</v>
      </c>
      <c r="D59" s="6">
        <f t="shared" si="48"/>
        <v>5874</v>
      </c>
      <c r="E59" s="6">
        <v>370</v>
      </c>
      <c r="F59" s="6">
        <f t="shared" si="49"/>
        <v>19251</v>
      </c>
      <c r="G59" s="6">
        <v>1402</v>
      </c>
      <c r="H59" s="6">
        <f t="shared" si="50"/>
        <v>9541</v>
      </c>
      <c r="I59" s="6">
        <v>852</v>
      </c>
      <c r="J59" s="6">
        <f t="shared" si="51"/>
        <v>24210</v>
      </c>
      <c r="K59" s="6">
        <v>379</v>
      </c>
      <c r="L59" s="6">
        <f t="shared" si="52"/>
        <v>5924</v>
      </c>
      <c r="M59" s="6">
        <v>374</v>
      </c>
      <c r="N59" s="6">
        <f t="shared" si="53"/>
        <v>19353</v>
      </c>
      <c r="O59" s="6">
        <v>1404</v>
      </c>
      <c r="P59" s="6">
        <f t="shared" si="54"/>
        <v>9560</v>
      </c>
      <c r="Q59" s="6">
        <v>852</v>
      </c>
      <c r="R59" s="6">
        <f t="shared" si="55"/>
        <v>24254</v>
      </c>
      <c r="S59" s="6">
        <v>1669</v>
      </c>
      <c r="T59" s="6">
        <f t="shared" si="56"/>
        <v>5920</v>
      </c>
      <c r="U59" s="6">
        <v>750</v>
      </c>
      <c r="V59" s="6">
        <f t="shared" si="57"/>
        <v>7700</v>
      </c>
      <c r="W59" s="6">
        <v>644</v>
      </c>
      <c r="X59" s="6">
        <f t="shared" si="58"/>
        <v>2284</v>
      </c>
      <c r="Y59" s="6">
        <v>272</v>
      </c>
      <c r="Z59" s="6">
        <f t="shared" si="59"/>
        <v>2799</v>
      </c>
      <c r="AA59" s="6">
        <v>484</v>
      </c>
      <c r="AB59" s="6">
        <f t="shared" si="60"/>
        <v>4727</v>
      </c>
      <c r="AC59" s="6">
        <v>403</v>
      </c>
      <c r="AD59" s="6">
        <f t="shared" si="61"/>
        <v>14457</v>
      </c>
      <c r="AE59" s="6">
        <v>2202</v>
      </c>
      <c r="AF59" s="6">
        <f t="shared" si="62"/>
        <v>10238</v>
      </c>
      <c r="AG59" s="6">
        <v>1035</v>
      </c>
      <c r="AH59" s="6">
        <f t="shared" si="63"/>
        <v>20751</v>
      </c>
      <c r="AI59" s="6">
        <v>493</v>
      </c>
      <c r="AJ59" s="6">
        <f t="shared" si="64"/>
        <v>4784</v>
      </c>
      <c r="AK59" s="6">
        <v>407</v>
      </c>
      <c r="AL59" s="6">
        <f t="shared" si="65"/>
        <v>14553</v>
      </c>
      <c r="AM59" s="6">
        <v>2211</v>
      </c>
      <c r="AN59" s="6">
        <f t="shared" si="66"/>
        <v>10277</v>
      </c>
      <c r="AO59" s="6">
        <v>1039</v>
      </c>
      <c r="AP59" s="6">
        <f t="shared" si="67"/>
        <v>20805</v>
      </c>
      <c r="AQ59" s="6">
        <v>2699</v>
      </c>
      <c r="AR59" s="6">
        <f t="shared" si="68"/>
        <v>8518</v>
      </c>
      <c r="AS59" s="6">
        <v>971</v>
      </c>
      <c r="AT59" s="6">
        <f t="shared" si="69"/>
        <v>9061</v>
      </c>
      <c r="AU59" s="6">
        <v>981</v>
      </c>
      <c r="AV59" s="6">
        <f t="shared" si="70"/>
        <v>3025</v>
      </c>
      <c r="AW59" s="6">
        <v>339</v>
      </c>
      <c r="AX59" s="6">
        <f t="shared" si="71"/>
        <v>2809</v>
      </c>
    </row>
    <row r="60" spans="1:50" x14ac:dyDescent="0.25">
      <c r="A60" s="4">
        <v>8</v>
      </c>
      <c r="B60" s="11">
        <v>38</v>
      </c>
      <c r="C60" s="4">
        <v>228</v>
      </c>
      <c r="D60" s="4">
        <f t="shared" si="48"/>
        <v>6102</v>
      </c>
      <c r="E60" s="4">
        <v>261</v>
      </c>
      <c r="F60" s="4">
        <f t="shared" si="49"/>
        <v>19512</v>
      </c>
      <c r="G60" s="4">
        <v>853</v>
      </c>
      <c r="H60" s="4">
        <f t="shared" si="50"/>
        <v>10394</v>
      </c>
      <c r="I60" s="4">
        <v>592</v>
      </c>
      <c r="J60" s="4">
        <f t="shared" si="51"/>
        <v>24802</v>
      </c>
      <c r="K60" s="4">
        <v>229</v>
      </c>
      <c r="L60" s="4">
        <f t="shared" si="52"/>
        <v>6153</v>
      </c>
      <c r="M60" s="4">
        <v>265</v>
      </c>
      <c r="N60" s="4">
        <f t="shared" si="53"/>
        <v>19618</v>
      </c>
      <c r="O60" s="4">
        <v>855</v>
      </c>
      <c r="P60" s="4">
        <f t="shared" si="54"/>
        <v>10415</v>
      </c>
      <c r="Q60" s="4">
        <v>593</v>
      </c>
      <c r="R60" s="4">
        <f t="shared" si="55"/>
        <v>24847</v>
      </c>
      <c r="S60" s="4">
        <v>1039</v>
      </c>
      <c r="T60" s="4">
        <f t="shared" si="56"/>
        <v>6959</v>
      </c>
      <c r="U60" s="4">
        <v>489</v>
      </c>
      <c r="V60" s="4">
        <f t="shared" si="57"/>
        <v>8189</v>
      </c>
      <c r="W60" s="4">
        <v>413</v>
      </c>
      <c r="X60" s="4">
        <f t="shared" si="58"/>
        <v>2697</v>
      </c>
      <c r="Y60" s="4">
        <v>161</v>
      </c>
      <c r="Z60" s="4">
        <f t="shared" si="59"/>
        <v>2960</v>
      </c>
      <c r="AA60" s="4">
        <v>537</v>
      </c>
      <c r="AB60" s="4">
        <f t="shared" si="60"/>
        <v>5264</v>
      </c>
      <c r="AC60" s="4">
        <v>327</v>
      </c>
      <c r="AD60" s="4">
        <f t="shared" si="61"/>
        <v>14784</v>
      </c>
      <c r="AE60" s="4">
        <v>1684</v>
      </c>
      <c r="AF60" s="4">
        <f t="shared" si="62"/>
        <v>11922</v>
      </c>
      <c r="AG60" s="4">
        <v>729</v>
      </c>
      <c r="AH60" s="4">
        <f t="shared" si="63"/>
        <v>21480</v>
      </c>
      <c r="AI60" s="4">
        <v>554</v>
      </c>
      <c r="AJ60" s="4">
        <f t="shared" si="64"/>
        <v>5338</v>
      </c>
      <c r="AK60" s="4">
        <v>333</v>
      </c>
      <c r="AL60" s="4">
        <f t="shared" si="65"/>
        <v>14886</v>
      </c>
      <c r="AM60" s="4">
        <v>1690</v>
      </c>
      <c r="AN60" s="4">
        <f t="shared" si="66"/>
        <v>11967</v>
      </c>
      <c r="AO60" s="4">
        <v>729</v>
      </c>
      <c r="AP60" s="4">
        <f t="shared" si="67"/>
        <v>21534</v>
      </c>
      <c r="AQ60" s="4">
        <v>1852</v>
      </c>
      <c r="AR60" s="4">
        <f t="shared" si="68"/>
        <v>10370</v>
      </c>
      <c r="AS60" s="4">
        <v>582</v>
      </c>
      <c r="AT60" s="4">
        <f t="shared" si="69"/>
        <v>9643</v>
      </c>
      <c r="AU60" s="4">
        <v>716</v>
      </c>
      <c r="AV60" s="4">
        <f t="shared" si="70"/>
        <v>3741</v>
      </c>
      <c r="AW60" s="4">
        <v>186</v>
      </c>
      <c r="AX60" s="4">
        <f t="shared" si="71"/>
        <v>2995</v>
      </c>
    </row>
    <row r="61" spans="1:50" x14ac:dyDescent="0.25">
      <c r="A61" s="6">
        <v>9</v>
      </c>
      <c r="B61" s="11">
        <v>14</v>
      </c>
      <c r="C61" s="6">
        <v>134</v>
      </c>
      <c r="D61" s="6">
        <f t="shared" si="48"/>
        <v>6236</v>
      </c>
      <c r="E61" s="6">
        <v>205</v>
      </c>
      <c r="F61" s="6">
        <f t="shared" si="49"/>
        <v>19717</v>
      </c>
      <c r="G61" s="6">
        <v>529</v>
      </c>
      <c r="H61" s="6">
        <f t="shared" si="50"/>
        <v>10923</v>
      </c>
      <c r="I61" s="6">
        <v>408</v>
      </c>
      <c r="J61" s="6">
        <f t="shared" si="51"/>
        <v>25210</v>
      </c>
      <c r="K61" s="6">
        <v>137</v>
      </c>
      <c r="L61" s="6">
        <f t="shared" si="52"/>
        <v>6290</v>
      </c>
      <c r="M61" s="6">
        <v>208</v>
      </c>
      <c r="N61" s="6">
        <f t="shared" si="53"/>
        <v>19826</v>
      </c>
      <c r="O61" s="6">
        <v>532</v>
      </c>
      <c r="P61" s="6">
        <f t="shared" si="54"/>
        <v>10947</v>
      </c>
      <c r="Q61" s="6">
        <v>409</v>
      </c>
      <c r="R61" s="6">
        <f t="shared" si="55"/>
        <v>25256</v>
      </c>
      <c r="S61" s="6">
        <v>624</v>
      </c>
      <c r="T61" s="6">
        <f t="shared" si="56"/>
        <v>7583</v>
      </c>
      <c r="U61" s="6">
        <v>271</v>
      </c>
      <c r="V61" s="6">
        <f t="shared" si="57"/>
        <v>8460</v>
      </c>
      <c r="W61" s="6">
        <v>229</v>
      </c>
      <c r="X61" s="6">
        <f t="shared" si="58"/>
        <v>2926</v>
      </c>
      <c r="Y61" s="6">
        <v>70</v>
      </c>
      <c r="Z61" s="6">
        <f t="shared" si="59"/>
        <v>3030</v>
      </c>
      <c r="AA61" s="6">
        <v>516</v>
      </c>
      <c r="AB61" s="6">
        <f t="shared" si="60"/>
        <v>5780</v>
      </c>
      <c r="AC61" s="6">
        <v>272</v>
      </c>
      <c r="AD61" s="6">
        <f t="shared" si="61"/>
        <v>15056</v>
      </c>
      <c r="AE61" s="6">
        <v>1418</v>
      </c>
      <c r="AF61" s="6">
        <f t="shared" si="62"/>
        <v>13340</v>
      </c>
      <c r="AG61" s="6">
        <v>529</v>
      </c>
      <c r="AH61" s="6">
        <f t="shared" si="63"/>
        <v>22009</v>
      </c>
      <c r="AI61" s="6">
        <v>526</v>
      </c>
      <c r="AJ61" s="6">
        <f t="shared" si="64"/>
        <v>5864</v>
      </c>
      <c r="AK61" s="6">
        <v>277</v>
      </c>
      <c r="AL61" s="6">
        <f t="shared" si="65"/>
        <v>15163</v>
      </c>
      <c r="AM61" s="6">
        <v>1425</v>
      </c>
      <c r="AN61" s="6">
        <f t="shared" si="66"/>
        <v>13392</v>
      </c>
      <c r="AO61" s="6">
        <v>531</v>
      </c>
      <c r="AP61" s="6">
        <f t="shared" si="67"/>
        <v>22065</v>
      </c>
      <c r="AQ61" s="6">
        <v>1426</v>
      </c>
      <c r="AR61" s="6">
        <f t="shared" si="68"/>
        <v>11796</v>
      </c>
      <c r="AS61" s="6">
        <v>343</v>
      </c>
      <c r="AT61" s="6">
        <f t="shared" si="69"/>
        <v>9986</v>
      </c>
      <c r="AU61" s="6">
        <v>527</v>
      </c>
      <c r="AV61" s="6">
        <f t="shared" si="70"/>
        <v>4268</v>
      </c>
      <c r="AW61" s="6">
        <v>89</v>
      </c>
      <c r="AX61" s="6">
        <f t="shared" si="71"/>
        <v>3084</v>
      </c>
    </row>
    <row r="62" spans="1:50" x14ac:dyDescent="0.25">
      <c r="A62" s="4">
        <v>10</v>
      </c>
      <c r="B62" s="11">
        <v>7</v>
      </c>
      <c r="C62" s="4">
        <v>139</v>
      </c>
      <c r="D62" s="4">
        <f t="shared" si="48"/>
        <v>6375</v>
      </c>
      <c r="E62" s="4">
        <v>362</v>
      </c>
      <c r="F62" s="4">
        <f t="shared" si="49"/>
        <v>20079</v>
      </c>
      <c r="G62" s="4">
        <v>469</v>
      </c>
      <c r="H62" s="4">
        <f t="shared" si="50"/>
        <v>11392</v>
      </c>
      <c r="I62" s="4">
        <v>527</v>
      </c>
      <c r="J62" s="4">
        <f t="shared" si="51"/>
        <v>25737</v>
      </c>
      <c r="K62" s="4">
        <v>144</v>
      </c>
      <c r="L62" s="4">
        <f t="shared" si="52"/>
        <v>6434</v>
      </c>
      <c r="M62" s="4">
        <v>365</v>
      </c>
      <c r="N62" s="4">
        <f t="shared" si="53"/>
        <v>20191</v>
      </c>
      <c r="O62" s="4">
        <v>471</v>
      </c>
      <c r="P62" s="4">
        <f t="shared" si="54"/>
        <v>11418</v>
      </c>
      <c r="Q62" s="4">
        <v>527</v>
      </c>
      <c r="R62" s="4">
        <f t="shared" si="55"/>
        <v>25783</v>
      </c>
      <c r="S62" s="4">
        <v>437</v>
      </c>
      <c r="T62" s="4">
        <f t="shared" si="56"/>
        <v>8020</v>
      </c>
      <c r="U62" s="4">
        <v>191</v>
      </c>
      <c r="V62" s="4">
        <f t="shared" si="57"/>
        <v>8651</v>
      </c>
      <c r="W62" s="4">
        <v>110</v>
      </c>
      <c r="X62" s="4">
        <f t="shared" si="58"/>
        <v>3036</v>
      </c>
      <c r="Y62" s="4">
        <v>29</v>
      </c>
      <c r="Z62" s="4">
        <f t="shared" si="59"/>
        <v>3059</v>
      </c>
      <c r="AA62" s="4">
        <v>543</v>
      </c>
      <c r="AB62" s="4">
        <f t="shared" si="60"/>
        <v>6323</v>
      </c>
      <c r="AC62" s="4">
        <v>365</v>
      </c>
      <c r="AD62" s="4">
        <f t="shared" si="61"/>
        <v>15421</v>
      </c>
      <c r="AE62" s="4">
        <v>1095</v>
      </c>
      <c r="AF62" s="4">
        <f t="shared" si="62"/>
        <v>14435</v>
      </c>
      <c r="AG62" s="4">
        <v>522</v>
      </c>
      <c r="AH62" s="4">
        <f t="shared" si="63"/>
        <v>22531</v>
      </c>
      <c r="AI62" s="4">
        <v>553</v>
      </c>
      <c r="AJ62" s="4">
        <f t="shared" si="64"/>
        <v>6417</v>
      </c>
      <c r="AK62" s="4">
        <v>375</v>
      </c>
      <c r="AL62" s="4">
        <f t="shared" si="65"/>
        <v>15538</v>
      </c>
      <c r="AM62" s="4">
        <v>1106</v>
      </c>
      <c r="AN62" s="4">
        <f t="shared" si="66"/>
        <v>14498</v>
      </c>
      <c r="AO62" s="4">
        <v>526</v>
      </c>
      <c r="AP62" s="4">
        <f t="shared" si="67"/>
        <v>22591</v>
      </c>
      <c r="AQ62" s="4">
        <v>802</v>
      </c>
      <c r="AR62" s="4">
        <f t="shared" si="68"/>
        <v>12598</v>
      </c>
      <c r="AS62" s="4">
        <v>187</v>
      </c>
      <c r="AT62" s="4">
        <f t="shared" si="69"/>
        <v>10173</v>
      </c>
      <c r="AU62" s="4">
        <v>249</v>
      </c>
      <c r="AV62" s="4">
        <f t="shared" si="70"/>
        <v>4517</v>
      </c>
      <c r="AW62" s="4">
        <v>36</v>
      </c>
      <c r="AX62" s="4">
        <f t="shared" si="71"/>
        <v>3120</v>
      </c>
    </row>
    <row r="63" spans="1:50" x14ac:dyDescent="0.25">
      <c r="A63" s="5" t="s">
        <v>7</v>
      </c>
      <c r="B63" s="5"/>
      <c r="C63" s="5">
        <f>SUM(C53:C62)</f>
        <v>6375</v>
      </c>
      <c r="D63" s="5"/>
      <c r="E63" s="5">
        <f>SUM(E53:E62)</f>
        <v>20079</v>
      </c>
      <c r="F63" s="5"/>
      <c r="G63" s="5">
        <f>SUM(G53:G62)</f>
        <v>11392</v>
      </c>
      <c r="H63" s="5"/>
      <c r="I63" s="5">
        <f>SUM(I53:I62)</f>
        <v>25737</v>
      </c>
      <c r="J63" s="5"/>
      <c r="K63" s="5">
        <f>SUM(K53:K62)</f>
        <v>6434</v>
      </c>
      <c r="L63" s="5"/>
      <c r="M63" s="5">
        <f>SUM(M53:M62)</f>
        <v>20191</v>
      </c>
      <c r="N63" s="5"/>
      <c r="O63" s="5">
        <f>SUM(O53:O62)</f>
        <v>11418</v>
      </c>
      <c r="P63" s="5"/>
      <c r="Q63" s="5">
        <f>SUM(Q53:Q62)</f>
        <v>25783</v>
      </c>
      <c r="R63" s="5"/>
      <c r="S63" s="5">
        <f>SUM(S53:S62)</f>
        <v>8020</v>
      </c>
      <c r="T63" s="5"/>
      <c r="U63" s="5">
        <f>SUM(U53:U62)</f>
        <v>8651</v>
      </c>
      <c r="V63" s="5"/>
      <c r="W63" s="5">
        <f>SUM(W53:W62)</f>
        <v>3036</v>
      </c>
      <c r="X63" s="5"/>
      <c r="Y63" s="5">
        <f>SUM(Y53:Y62)</f>
        <v>3059</v>
      </c>
      <c r="Z63" s="5"/>
      <c r="AA63" s="5">
        <f>SUM(AA53:AA62)</f>
        <v>6323</v>
      </c>
      <c r="AB63" s="5"/>
      <c r="AC63" s="5">
        <f>SUM(AC53:AC62)</f>
        <v>15421</v>
      </c>
      <c r="AD63" s="5"/>
      <c r="AE63" s="5">
        <f>SUM(AE53:AE62)</f>
        <v>14435</v>
      </c>
      <c r="AF63" s="5"/>
      <c r="AG63" s="5">
        <f>SUM(AG53:AG62)</f>
        <v>22531</v>
      </c>
      <c r="AH63" s="5"/>
      <c r="AI63" s="5">
        <f>SUM(AI53:AI62)</f>
        <v>6417</v>
      </c>
      <c r="AJ63" s="5"/>
      <c r="AK63" s="5">
        <f>SUM(AK53:AK62)</f>
        <v>15538</v>
      </c>
      <c r="AL63" s="5"/>
      <c r="AM63" s="5">
        <f>SUM(AM53:AM62)</f>
        <v>14498</v>
      </c>
      <c r="AN63" s="5"/>
      <c r="AO63" s="5">
        <f>SUM(AO53:AO62)</f>
        <v>22591</v>
      </c>
      <c r="AP63" s="5"/>
      <c r="AQ63" s="5">
        <f>SUM(AQ53:AQ62)</f>
        <v>12598</v>
      </c>
      <c r="AR63" s="5"/>
      <c r="AS63" s="5">
        <f>SUM(AS53:AS62)</f>
        <v>10173</v>
      </c>
      <c r="AT63" s="5"/>
      <c r="AU63" s="5">
        <f>SUM(AU53:AU62)</f>
        <v>4517</v>
      </c>
      <c r="AV63" s="5"/>
      <c r="AW63" s="5">
        <f>SUM(AW53:AW62)</f>
        <v>3120</v>
      </c>
      <c r="AX63" s="5"/>
    </row>
    <row r="66" spans="1:50" x14ac:dyDescent="0.25">
      <c r="A66" t="s">
        <v>13</v>
      </c>
    </row>
    <row r="68" spans="1:50" x14ac:dyDescent="0.25">
      <c r="A68" s="3"/>
      <c r="B68" s="3"/>
      <c r="C68" s="7" t="s">
        <v>12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9"/>
      <c r="AA68" s="7" t="s">
        <v>14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9"/>
    </row>
    <row r="69" spans="1:50" x14ac:dyDescent="0.25">
      <c r="A69" s="3"/>
      <c r="B69" s="3"/>
      <c r="C69" s="7" t="s">
        <v>1</v>
      </c>
      <c r="D69" s="8"/>
      <c r="E69" s="8"/>
      <c r="F69" s="9"/>
      <c r="G69" s="7" t="s">
        <v>0</v>
      </c>
      <c r="H69" s="8"/>
      <c r="I69" s="8"/>
      <c r="J69" s="9"/>
      <c r="K69" s="7" t="s">
        <v>2</v>
      </c>
      <c r="L69" s="8"/>
      <c r="M69" s="8"/>
      <c r="N69" s="9"/>
      <c r="O69" s="7" t="s">
        <v>3</v>
      </c>
      <c r="P69" s="8"/>
      <c r="Q69" s="8"/>
      <c r="R69" s="9"/>
      <c r="S69" s="7" t="s">
        <v>4</v>
      </c>
      <c r="T69" s="8"/>
      <c r="U69" s="8"/>
      <c r="V69" s="9"/>
      <c r="W69" s="7" t="s">
        <v>5</v>
      </c>
      <c r="X69" s="8"/>
      <c r="Y69" s="8"/>
      <c r="Z69" s="9"/>
      <c r="AA69" s="7" t="s">
        <v>1</v>
      </c>
      <c r="AB69" s="8"/>
      <c r="AC69" s="8"/>
      <c r="AD69" s="9"/>
      <c r="AE69" s="7" t="s">
        <v>0</v>
      </c>
      <c r="AF69" s="8"/>
      <c r="AG69" s="8"/>
      <c r="AH69" s="9"/>
      <c r="AI69" s="7" t="s">
        <v>2</v>
      </c>
      <c r="AJ69" s="8"/>
      <c r="AK69" s="8"/>
      <c r="AL69" s="9"/>
      <c r="AM69" s="7" t="s">
        <v>3</v>
      </c>
      <c r="AN69" s="8"/>
      <c r="AO69" s="8"/>
      <c r="AP69" s="9"/>
      <c r="AQ69" s="7" t="s">
        <v>4</v>
      </c>
      <c r="AR69" s="8"/>
      <c r="AS69" s="8"/>
      <c r="AT69" s="9"/>
      <c r="AU69" s="7" t="s">
        <v>5</v>
      </c>
      <c r="AV69" s="8"/>
      <c r="AW69" s="8"/>
      <c r="AX69" s="9"/>
    </row>
    <row r="70" spans="1:50" x14ac:dyDescent="0.25">
      <c r="A70" s="3" t="s">
        <v>6</v>
      </c>
      <c r="B70" s="3" t="s">
        <v>20</v>
      </c>
      <c r="C70" s="3" t="s">
        <v>18</v>
      </c>
      <c r="D70" s="3" t="s">
        <v>19</v>
      </c>
      <c r="E70" s="3" t="s">
        <v>15</v>
      </c>
      <c r="F70" s="3" t="s">
        <v>19</v>
      </c>
      <c r="G70" s="3" t="s">
        <v>18</v>
      </c>
      <c r="H70" s="3" t="s">
        <v>19</v>
      </c>
      <c r="I70" s="3" t="s">
        <v>15</v>
      </c>
      <c r="J70" s="3" t="s">
        <v>19</v>
      </c>
      <c r="K70" s="3" t="s">
        <v>18</v>
      </c>
      <c r="L70" s="3" t="s">
        <v>19</v>
      </c>
      <c r="M70" s="3" t="s">
        <v>15</v>
      </c>
      <c r="N70" s="3" t="s">
        <v>19</v>
      </c>
      <c r="O70" s="3" t="s">
        <v>18</v>
      </c>
      <c r="P70" s="3" t="s">
        <v>19</v>
      </c>
      <c r="Q70" s="3" t="s">
        <v>15</v>
      </c>
      <c r="R70" s="3" t="s">
        <v>19</v>
      </c>
      <c r="S70" s="3" t="s">
        <v>18</v>
      </c>
      <c r="T70" s="3" t="s">
        <v>19</v>
      </c>
      <c r="U70" s="3" t="s">
        <v>15</v>
      </c>
      <c r="V70" s="3" t="s">
        <v>19</v>
      </c>
      <c r="W70" s="3" t="s">
        <v>18</v>
      </c>
      <c r="X70" s="3" t="s">
        <v>19</v>
      </c>
      <c r="Y70" s="3" t="s">
        <v>15</v>
      </c>
      <c r="Z70" s="3" t="s">
        <v>19</v>
      </c>
      <c r="AA70" s="3" t="s">
        <v>18</v>
      </c>
      <c r="AB70" s="3" t="s">
        <v>19</v>
      </c>
      <c r="AC70" s="3" t="s">
        <v>15</v>
      </c>
      <c r="AD70" s="3" t="s">
        <v>19</v>
      </c>
      <c r="AE70" s="3" t="s">
        <v>18</v>
      </c>
      <c r="AF70" s="3" t="s">
        <v>19</v>
      </c>
      <c r="AG70" s="3" t="s">
        <v>15</v>
      </c>
      <c r="AH70" s="3" t="s">
        <v>19</v>
      </c>
      <c r="AI70" s="3" t="s">
        <v>18</v>
      </c>
      <c r="AJ70" s="3" t="s">
        <v>19</v>
      </c>
      <c r="AK70" s="3" t="s">
        <v>15</v>
      </c>
      <c r="AL70" s="3" t="s">
        <v>19</v>
      </c>
      <c r="AM70" s="3" t="s">
        <v>18</v>
      </c>
      <c r="AN70" s="3" t="s">
        <v>19</v>
      </c>
      <c r="AO70" s="3" t="s">
        <v>15</v>
      </c>
      <c r="AP70" s="3" t="s">
        <v>19</v>
      </c>
      <c r="AQ70" s="3" t="s">
        <v>18</v>
      </c>
      <c r="AR70" s="3" t="s">
        <v>19</v>
      </c>
      <c r="AS70" s="3" t="s">
        <v>15</v>
      </c>
      <c r="AT70" s="3" t="s">
        <v>19</v>
      </c>
      <c r="AU70" s="3" t="s">
        <v>18</v>
      </c>
      <c r="AV70" s="3" t="s">
        <v>19</v>
      </c>
      <c r="AW70" s="3" t="s">
        <v>15</v>
      </c>
      <c r="AX70" s="3" t="s">
        <v>19</v>
      </c>
    </row>
    <row r="71" spans="1:50" x14ac:dyDescent="0.25">
      <c r="A71" s="6">
        <v>1</v>
      </c>
      <c r="B71" s="10">
        <v>653</v>
      </c>
      <c r="C71" s="6">
        <v>1439</v>
      </c>
      <c r="D71" s="6">
        <f>C71</f>
        <v>1439</v>
      </c>
      <c r="E71" s="6">
        <v>10454</v>
      </c>
      <c r="F71" s="6">
        <f>E71</f>
        <v>10454</v>
      </c>
      <c r="G71" s="6">
        <v>1560</v>
      </c>
      <c r="H71" s="6">
        <f>G71</f>
        <v>1560</v>
      </c>
      <c r="I71" s="6">
        <v>11124</v>
      </c>
      <c r="J71" s="6">
        <f>I71</f>
        <v>11124</v>
      </c>
      <c r="K71" s="6">
        <v>1445</v>
      </c>
      <c r="L71" s="6">
        <f>K71</f>
        <v>1445</v>
      </c>
      <c r="M71" s="6">
        <v>10481</v>
      </c>
      <c r="N71" s="6">
        <f>M71</f>
        <v>10481</v>
      </c>
      <c r="O71" s="6">
        <v>1563</v>
      </c>
      <c r="P71" s="6">
        <f>O71</f>
        <v>1563</v>
      </c>
      <c r="Q71" s="6">
        <v>11137</v>
      </c>
      <c r="R71" s="6">
        <f>Q71</f>
        <v>11137</v>
      </c>
      <c r="S71" s="6">
        <v>176</v>
      </c>
      <c r="T71" s="6">
        <f>S71</f>
        <v>176</v>
      </c>
      <c r="U71" s="6">
        <v>946</v>
      </c>
      <c r="V71" s="6">
        <f>U71</f>
        <v>946</v>
      </c>
      <c r="W71" s="6">
        <v>58</v>
      </c>
      <c r="X71" s="6">
        <f>W71</f>
        <v>58</v>
      </c>
      <c r="Y71" s="6">
        <v>290</v>
      </c>
      <c r="Z71" s="6">
        <f>Y71</f>
        <v>290</v>
      </c>
      <c r="AA71" s="6">
        <v>1232</v>
      </c>
      <c r="AB71" s="6">
        <f>AA71</f>
        <v>1232</v>
      </c>
      <c r="AC71" s="6">
        <v>7693</v>
      </c>
      <c r="AD71" s="6">
        <f>AC71</f>
        <v>7693</v>
      </c>
      <c r="AE71" s="6">
        <v>1439</v>
      </c>
      <c r="AF71" s="6">
        <f>AE71</f>
        <v>1439</v>
      </c>
      <c r="AG71" s="6">
        <v>8575</v>
      </c>
      <c r="AH71" s="6">
        <f>AG71</f>
        <v>8575</v>
      </c>
      <c r="AI71" s="6">
        <v>1243</v>
      </c>
      <c r="AJ71" s="6">
        <f>AI71</f>
        <v>1243</v>
      </c>
      <c r="AK71" s="6">
        <v>7724</v>
      </c>
      <c r="AL71" s="6">
        <f>AK71</f>
        <v>7724</v>
      </c>
      <c r="AM71" s="6">
        <v>1440</v>
      </c>
      <c r="AN71" s="6">
        <f>AM71</f>
        <v>1440</v>
      </c>
      <c r="AO71" s="6">
        <v>8590</v>
      </c>
      <c r="AP71" s="6">
        <f>AO71</f>
        <v>8590</v>
      </c>
      <c r="AQ71" s="6">
        <v>248</v>
      </c>
      <c r="AR71" s="6">
        <f>AQ71</f>
        <v>248</v>
      </c>
      <c r="AS71" s="6">
        <v>1128</v>
      </c>
      <c r="AT71" s="6">
        <f>AS71</f>
        <v>1128</v>
      </c>
      <c r="AU71" s="6">
        <v>51</v>
      </c>
      <c r="AV71" s="6">
        <f>AU71</f>
        <v>51</v>
      </c>
      <c r="AW71" s="6">
        <v>262</v>
      </c>
      <c r="AX71" s="6">
        <f>AW71</f>
        <v>262</v>
      </c>
    </row>
    <row r="72" spans="1:50" x14ac:dyDescent="0.25">
      <c r="A72" s="4">
        <v>2</v>
      </c>
      <c r="B72" s="11">
        <v>446</v>
      </c>
      <c r="C72" s="4">
        <v>774</v>
      </c>
      <c r="D72" s="4">
        <f>C72+D71</f>
        <v>2213</v>
      </c>
      <c r="E72" s="4">
        <v>1757</v>
      </c>
      <c r="F72" s="4">
        <f>E72+F71</f>
        <v>12211</v>
      </c>
      <c r="G72" s="4">
        <v>1036</v>
      </c>
      <c r="H72" s="4">
        <f>G72+H71</f>
        <v>2596</v>
      </c>
      <c r="I72" s="4">
        <v>2406</v>
      </c>
      <c r="J72" s="4">
        <f>I72+J71</f>
        <v>13530</v>
      </c>
      <c r="K72" s="4">
        <v>779</v>
      </c>
      <c r="L72" s="4">
        <f>K72+L71</f>
        <v>2224</v>
      </c>
      <c r="M72" s="4">
        <v>1773</v>
      </c>
      <c r="N72" s="4">
        <f>M72+N71</f>
        <v>12254</v>
      </c>
      <c r="O72" s="4">
        <v>1038</v>
      </c>
      <c r="P72" s="4">
        <f>O72+P71</f>
        <v>2601</v>
      </c>
      <c r="Q72" s="4">
        <v>2412</v>
      </c>
      <c r="R72" s="4">
        <f>Q72+R71</f>
        <v>13549</v>
      </c>
      <c r="S72" s="4">
        <v>446</v>
      </c>
      <c r="T72" s="4">
        <f>S72+T71</f>
        <v>622</v>
      </c>
      <c r="U72" s="4">
        <v>1189</v>
      </c>
      <c r="V72" s="4">
        <f>U72+V71</f>
        <v>2135</v>
      </c>
      <c r="W72" s="4">
        <v>187</v>
      </c>
      <c r="X72" s="4">
        <f>W72+X71</f>
        <v>245</v>
      </c>
      <c r="Y72" s="4">
        <v>550</v>
      </c>
      <c r="Z72" s="4">
        <f>Y72+Z71</f>
        <v>840</v>
      </c>
      <c r="AA72" s="4">
        <v>787</v>
      </c>
      <c r="AB72" s="4">
        <f>AA72+AB71</f>
        <v>2019</v>
      </c>
      <c r="AC72" s="4">
        <v>2155</v>
      </c>
      <c r="AD72" s="4">
        <f>AC72+AD71</f>
        <v>9848</v>
      </c>
      <c r="AE72" s="4">
        <v>1208</v>
      </c>
      <c r="AF72" s="4">
        <f>AE72+AF71</f>
        <v>2647</v>
      </c>
      <c r="AG72" s="4">
        <v>3180</v>
      </c>
      <c r="AH72" s="4">
        <f>AG72+AH71</f>
        <v>11755</v>
      </c>
      <c r="AI72" s="4">
        <v>799</v>
      </c>
      <c r="AJ72" s="4">
        <f>AI72+AJ71</f>
        <v>2042</v>
      </c>
      <c r="AK72" s="4">
        <v>2171</v>
      </c>
      <c r="AL72" s="4">
        <f>AK72+AL71</f>
        <v>9895</v>
      </c>
      <c r="AM72" s="4">
        <v>1215</v>
      </c>
      <c r="AN72" s="4">
        <f>AM72+AN71</f>
        <v>2655</v>
      </c>
      <c r="AO72" s="4">
        <v>3189</v>
      </c>
      <c r="AP72" s="4">
        <f>AO72+AP71</f>
        <v>11779</v>
      </c>
      <c r="AQ72" s="4">
        <v>629</v>
      </c>
      <c r="AR72" s="4">
        <f>AQ72+AR71</f>
        <v>877</v>
      </c>
      <c r="AS72" s="4">
        <v>1580</v>
      </c>
      <c r="AT72" s="4">
        <f>AS72+AT71</f>
        <v>2708</v>
      </c>
      <c r="AU72" s="4">
        <v>213</v>
      </c>
      <c r="AV72" s="4">
        <f>AU72+AV71</f>
        <v>264</v>
      </c>
      <c r="AW72" s="4">
        <v>562</v>
      </c>
      <c r="AX72" s="4">
        <f>AW72+AX71</f>
        <v>824</v>
      </c>
    </row>
    <row r="73" spans="1:50" x14ac:dyDescent="0.25">
      <c r="A73" s="6">
        <v>3</v>
      </c>
      <c r="B73" s="11">
        <v>315</v>
      </c>
      <c r="C73" s="6">
        <v>512</v>
      </c>
      <c r="D73" s="6">
        <f t="shared" ref="D73:D80" si="72">C73+D72</f>
        <v>2725</v>
      </c>
      <c r="E73" s="6">
        <v>910</v>
      </c>
      <c r="F73" s="6">
        <f t="shared" ref="F73:F80" si="73">E73+F72</f>
        <v>13121</v>
      </c>
      <c r="G73" s="6">
        <v>926</v>
      </c>
      <c r="H73" s="6">
        <f t="shared" ref="H73:H80" si="74">G73+H72</f>
        <v>3522</v>
      </c>
      <c r="I73" s="6">
        <v>1592</v>
      </c>
      <c r="J73" s="6">
        <f t="shared" ref="J73:J80" si="75">I73+J72</f>
        <v>15122</v>
      </c>
      <c r="K73" s="6">
        <v>521</v>
      </c>
      <c r="L73" s="6">
        <f t="shared" ref="L73:L80" si="76">K73+L72</f>
        <v>2745</v>
      </c>
      <c r="M73" s="6">
        <v>917</v>
      </c>
      <c r="N73" s="6">
        <f t="shared" ref="N73:N80" si="77">M73+N72</f>
        <v>13171</v>
      </c>
      <c r="O73" s="6">
        <v>928</v>
      </c>
      <c r="P73" s="6">
        <f t="shared" ref="P73:P80" si="78">O73+P72</f>
        <v>3529</v>
      </c>
      <c r="Q73" s="6">
        <v>1596</v>
      </c>
      <c r="R73" s="6">
        <f t="shared" ref="R73:R80" si="79">Q73+R72</f>
        <v>15145</v>
      </c>
      <c r="S73" s="6">
        <v>685</v>
      </c>
      <c r="T73" s="6">
        <f t="shared" ref="T73:T80" si="80">S73+T72</f>
        <v>1307</v>
      </c>
      <c r="U73" s="6">
        <v>1196</v>
      </c>
      <c r="V73" s="6">
        <f t="shared" ref="V73:V80" si="81">U73+V72</f>
        <v>3331</v>
      </c>
      <c r="W73" s="6">
        <v>278</v>
      </c>
      <c r="X73" s="6">
        <f t="shared" ref="X73:X80" si="82">W73+X72</f>
        <v>523</v>
      </c>
      <c r="Y73" s="6">
        <v>517</v>
      </c>
      <c r="Z73" s="6">
        <f t="shared" ref="Z73:Z80" si="83">Y73+Z72</f>
        <v>1357</v>
      </c>
      <c r="AA73" s="6">
        <v>492</v>
      </c>
      <c r="AB73" s="6">
        <f t="shared" ref="AB73:AB80" si="84">AA73+AB72</f>
        <v>2511</v>
      </c>
      <c r="AC73" s="6">
        <v>1008</v>
      </c>
      <c r="AD73" s="6">
        <f t="shared" ref="AD73:AD80" si="85">AC73+AD72</f>
        <v>10856</v>
      </c>
      <c r="AE73" s="6">
        <v>1093</v>
      </c>
      <c r="AF73" s="6">
        <f t="shared" ref="AF73:AF80" si="86">AE73+AF72</f>
        <v>3740</v>
      </c>
      <c r="AG73" s="6">
        <v>2105</v>
      </c>
      <c r="AH73" s="6">
        <f t="shared" ref="AH73:AH80" si="87">AG73+AH72</f>
        <v>13860</v>
      </c>
      <c r="AI73" s="6">
        <v>494</v>
      </c>
      <c r="AJ73" s="6">
        <f t="shared" ref="AJ73:AJ80" si="88">AI73+AJ72</f>
        <v>2536</v>
      </c>
      <c r="AK73" s="6">
        <v>1017</v>
      </c>
      <c r="AL73" s="6">
        <f t="shared" ref="AL73:AL80" si="89">AK73+AL72</f>
        <v>10912</v>
      </c>
      <c r="AM73" s="6">
        <v>1095</v>
      </c>
      <c r="AN73" s="6">
        <f t="shared" ref="AN73:AN80" si="90">AM73+AN72</f>
        <v>3750</v>
      </c>
      <c r="AO73" s="6">
        <v>2110</v>
      </c>
      <c r="AP73" s="6">
        <f t="shared" ref="AP73:AP80" si="91">AO73+AP72</f>
        <v>13889</v>
      </c>
      <c r="AQ73" s="6">
        <v>941</v>
      </c>
      <c r="AR73" s="6">
        <f t="shared" ref="AR73:AR80" si="92">AQ73+AR72</f>
        <v>1818</v>
      </c>
      <c r="AS73" s="6">
        <v>1635</v>
      </c>
      <c r="AT73" s="6">
        <f t="shared" ref="AT73:AT80" si="93">AS73+AT72</f>
        <v>4343</v>
      </c>
      <c r="AU73" s="6">
        <v>340</v>
      </c>
      <c r="AV73" s="6">
        <f t="shared" ref="AV73:AV80" si="94">AU73+AV72</f>
        <v>604</v>
      </c>
      <c r="AW73" s="6">
        <v>542</v>
      </c>
      <c r="AX73" s="6">
        <f t="shared" ref="AX73:AX80" si="95">AW73+AX72</f>
        <v>1366</v>
      </c>
    </row>
    <row r="74" spans="1:50" x14ac:dyDescent="0.25">
      <c r="A74" s="4">
        <v>4</v>
      </c>
      <c r="B74" s="11">
        <v>189</v>
      </c>
      <c r="C74" s="4">
        <v>341</v>
      </c>
      <c r="D74" s="4">
        <f t="shared" si="72"/>
        <v>3066</v>
      </c>
      <c r="E74" s="4">
        <v>578</v>
      </c>
      <c r="F74" s="4">
        <f t="shared" si="73"/>
        <v>13699</v>
      </c>
      <c r="G74" s="4">
        <v>718</v>
      </c>
      <c r="H74" s="4">
        <f t="shared" si="74"/>
        <v>4240</v>
      </c>
      <c r="I74" s="4">
        <v>1086</v>
      </c>
      <c r="J74" s="4">
        <f t="shared" si="75"/>
        <v>16208</v>
      </c>
      <c r="K74" s="4">
        <v>349</v>
      </c>
      <c r="L74" s="4">
        <f t="shared" si="76"/>
        <v>3094</v>
      </c>
      <c r="M74" s="4">
        <v>585</v>
      </c>
      <c r="N74" s="4">
        <f t="shared" si="77"/>
        <v>13756</v>
      </c>
      <c r="O74" s="4">
        <v>719</v>
      </c>
      <c r="P74" s="4">
        <f t="shared" si="78"/>
        <v>4248</v>
      </c>
      <c r="Q74" s="4">
        <v>1089</v>
      </c>
      <c r="R74" s="4">
        <f t="shared" si="79"/>
        <v>16234</v>
      </c>
      <c r="S74" s="4">
        <v>805</v>
      </c>
      <c r="T74" s="4">
        <f t="shared" si="80"/>
        <v>2112</v>
      </c>
      <c r="U74" s="4">
        <v>1045</v>
      </c>
      <c r="V74" s="4">
        <f t="shared" si="81"/>
        <v>4376</v>
      </c>
      <c r="W74" s="4">
        <v>435</v>
      </c>
      <c r="X74" s="4">
        <f t="shared" si="82"/>
        <v>958</v>
      </c>
      <c r="Y74" s="4">
        <v>541</v>
      </c>
      <c r="Z74" s="4">
        <f t="shared" si="83"/>
        <v>1898</v>
      </c>
      <c r="AA74" s="4">
        <v>264</v>
      </c>
      <c r="AB74" s="4">
        <f t="shared" si="84"/>
        <v>2775</v>
      </c>
      <c r="AC74" s="4">
        <v>632</v>
      </c>
      <c r="AD74" s="4">
        <f t="shared" si="85"/>
        <v>11488</v>
      </c>
      <c r="AE74" s="4">
        <v>824</v>
      </c>
      <c r="AF74" s="4">
        <f t="shared" si="86"/>
        <v>4564</v>
      </c>
      <c r="AG74" s="4">
        <v>1495</v>
      </c>
      <c r="AH74" s="4">
        <f t="shared" si="87"/>
        <v>15355</v>
      </c>
      <c r="AI74" s="4">
        <v>268</v>
      </c>
      <c r="AJ74" s="4">
        <f t="shared" si="88"/>
        <v>2804</v>
      </c>
      <c r="AK74" s="4">
        <v>642</v>
      </c>
      <c r="AL74" s="4">
        <f t="shared" si="89"/>
        <v>11554</v>
      </c>
      <c r="AM74" s="4">
        <v>828</v>
      </c>
      <c r="AN74" s="4">
        <f t="shared" si="90"/>
        <v>4578</v>
      </c>
      <c r="AO74" s="4">
        <v>1500</v>
      </c>
      <c r="AP74" s="4">
        <f t="shared" si="91"/>
        <v>15389</v>
      </c>
      <c r="AQ74" s="4">
        <v>1135</v>
      </c>
      <c r="AR74" s="4">
        <f t="shared" si="92"/>
        <v>2953</v>
      </c>
      <c r="AS74" s="4">
        <v>1374</v>
      </c>
      <c r="AT74" s="4">
        <f t="shared" si="93"/>
        <v>5717</v>
      </c>
      <c r="AU74" s="4">
        <v>575</v>
      </c>
      <c r="AV74" s="4">
        <f t="shared" si="94"/>
        <v>1179</v>
      </c>
      <c r="AW74" s="4">
        <v>516</v>
      </c>
      <c r="AX74" s="4">
        <f t="shared" si="95"/>
        <v>1882</v>
      </c>
    </row>
    <row r="75" spans="1:50" x14ac:dyDescent="0.25">
      <c r="A75" s="6">
        <v>5</v>
      </c>
      <c r="B75" s="11">
        <v>121</v>
      </c>
      <c r="C75" s="6">
        <v>212</v>
      </c>
      <c r="D75" s="6">
        <f t="shared" si="72"/>
        <v>3278</v>
      </c>
      <c r="E75" s="6">
        <v>407</v>
      </c>
      <c r="F75" s="6">
        <f t="shared" si="73"/>
        <v>14106</v>
      </c>
      <c r="G75" s="6">
        <v>495</v>
      </c>
      <c r="H75" s="6">
        <f t="shared" si="74"/>
        <v>4735</v>
      </c>
      <c r="I75" s="6">
        <v>819</v>
      </c>
      <c r="J75" s="6">
        <f t="shared" si="75"/>
        <v>17027</v>
      </c>
      <c r="K75" s="6">
        <v>216</v>
      </c>
      <c r="L75" s="6">
        <f t="shared" si="76"/>
        <v>3310</v>
      </c>
      <c r="M75" s="6">
        <v>412</v>
      </c>
      <c r="N75" s="6">
        <f t="shared" si="77"/>
        <v>14168</v>
      </c>
      <c r="O75" s="6">
        <v>497</v>
      </c>
      <c r="P75" s="6">
        <f t="shared" si="78"/>
        <v>4745</v>
      </c>
      <c r="Q75" s="6">
        <v>820</v>
      </c>
      <c r="R75" s="6">
        <f t="shared" si="79"/>
        <v>17054</v>
      </c>
      <c r="S75" s="6">
        <v>559</v>
      </c>
      <c r="T75" s="6">
        <f t="shared" si="80"/>
        <v>2671</v>
      </c>
      <c r="U75" s="6">
        <v>729</v>
      </c>
      <c r="V75" s="6">
        <f t="shared" si="81"/>
        <v>5105</v>
      </c>
      <c r="W75" s="6">
        <v>278</v>
      </c>
      <c r="X75" s="6">
        <f t="shared" si="82"/>
        <v>1236</v>
      </c>
      <c r="Y75" s="6">
        <v>321</v>
      </c>
      <c r="Z75" s="6">
        <f t="shared" si="83"/>
        <v>2219</v>
      </c>
      <c r="AA75" s="6">
        <v>239</v>
      </c>
      <c r="AB75" s="6">
        <f t="shared" si="84"/>
        <v>3014</v>
      </c>
      <c r="AC75" s="6">
        <v>247</v>
      </c>
      <c r="AD75" s="6">
        <f t="shared" si="85"/>
        <v>11735</v>
      </c>
      <c r="AE75" s="6">
        <v>813</v>
      </c>
      <c r="AF75" s="6">
        <f t="shared" si="86"/>
        <v>5377</v>
      </c>
      <c r="AG75" s="6">
        <v>796</v>
      </c>
      <c r="AH75" s="6">
        <f t="shared" si="87"/>
        <v>16151</v>
      </c>
      <c r="AI75" s="6">
        <v>244</v>
      </c>
      <c r="AJ75" s="6">
        <f t="shared" si="88"/>
        <v>3048</v>
      </c>
      <c r="AK75" s="6">
        <v>253</v>
      </c>
      <c r="AL75" s="6">
        <f t="shared" si="89"/>
        <v>11807</v>
      </c>
      <c r="AM75" s="6">
        <v>817</v>
      </c>
      <c r="AN75" s="6">
        <f t="shared" si="90"/>
        <v>5395</v>
      </c>
      <c r="AO75" s="6">
        <v>797</v>
      </c>
      <c r="AP75" s="6">
        <f t="shared" si="91"/>
        <v>16186</v>
      </c>
      <c r="AQ75" s="6">
        <v>921</v>
      </c>
      <c r="AR75" s="6">
        <f t="shared" si="92"/>
        <v>3874</v>
      </c>
      <c r="AS75" s="6">
        <v>859</v>
      </c>
      <c r="AT75" s="6">
        <f t="shared" si="93"/>
        <v>6576</v>
      </c>
      <c r="AU75" s="6">
        <v>348</v>
      </c>
      <c r="AV75" s="6">
        <f t="shared" si="94"/>
        <v>1527</v>
      </c>
      <c r="AW75" s="6">
        <v>315</v>
      </c>
      <c r="AX75" s="6">
        <f t="shared" si="95"/>
        <v>2197</v>
      </c>
    </row>
    <row r="76" spans="1:50" x14ac:dyDescent="0.25">
      <c r="A76" s="4">
        <v>6</v>
      </c>
      <c r="B76" s="11">
        <v>95</v>
      </c>
      <c r="C76" s="4">
        <v>294</v>
      </c>
      <c r="D76" s="4">
        <f t="shared" si="72"/>
        <v>3572</v>
      </c>
      <c r="E76" s="4">
        <v>334</v>
      </c>
      <c r="F76" s="4">
        <f t="shared" si="73"/>
        <v>14440</v>
      </c>
      <c r="G76" s="4">
        <v>803</v>
      </c>
      <c r="H76" s="4">
        <f t="shared" si="74"/>
        <v>5538</v>
      </c>
      <c r="I76" s="4">
        <v>708</v>
      </c>
      <c r="J76" s="4">
        <f t="shared" si="75"/>
        <v>17735</v>
      </c>
      <c r="K76" s="4">
        <v>297</v>
      </c>
      <c r="L76" s="4">
        <f t="shared" si="76"/>
        <v>3607</v>
      </c>
      <c r="M76" s="4">
        <v>339</v>
      </c>
      <c r="N76" s="4">
        <f t="shared" si="77"/>
        <v>14507</v>
      </c>
      <c r="O76" s="4">
        <v>806</v>
      </c>
      <c r="P76" s="4">
        <f t="shared" si="78"/>
        <v>5551</v>
      </c>
      <c r="Q76" s="4">
        <v>711</v>
      </c>
      <c r="R76" s="4">
        <f t="shared" si="79"/>
        <v>17765</v>
      </c>
      <c r="S76" s="4">
        <v>895</v>
      </c>
      <c r="T76" s="4">
        <f t="shared" si="80"/>
        <v>3566</v>
      </c>
      <c r="U76" s="4">
        <v>647</v>
      </c>
      <c r="V76" s="4">
        <f t="shared" si="81"/>
        <v>5752</v>
      </c>
      <c r="W76" s="4">
        <v>386</v>
      </c>
      <c r="X76" s="4">
        <f t="shared" si="82"/>
        <v>1622</v>
      </c>
      <c r="Y76" s="4">
        <v>275</v>
      </c>
      <c r="Z76" s="4">
        <f t="shared" si="83"/>
        <v>2494</v>
      </c>
      <c r="AA76" s="4">
        <v>336</v>
      </c>
      <c r="AB76" s="4">
        <f t="shared" si="84"/>
        <v>3350</v>
      </c>
      <c r="AC76" s="4">
        <v>233</v>
      </c>
      <c r="AD76" s="4">
        <f t="shared" si="85"/>
        <v>11968</v>
      </c>
      <c r="AE76" s="4">
        <v>1115</v>
      </c>
      <c r="AF76" s="4">
        <f t="shared" si="86"/>
        <v>6492</v>
      </c>
      <c r="AG76" s="4">
        <v>700</v>
      </c>
      <c r="AH76" s="4">
        <f t="shared" si="87"/>
        <v>16851</v>
      </c>
      <c r="AI76" s="4">
        <v>340</v>
      </c>
      <c r="AJ76" s="4">
        <f t="shared" si="88"/>
        <v>3388</v>
      </c>
      <c r="AK76" s="4">
        <v>240</v>
      </c>
      <c r="AL76" s="4">
        <f t="shared" si="89"/>
        <v>12047</v>
      </c>
      <c r="AM76" s="4">
        <v>1118</v>
      </c>
      <c r="AN76" s="4">
        <f t="shared" si="90"/>
        <v>6513</v>
      </c>
      <c r="AO76" s="4">
        <v>702</v>
      </c>
      <c r="AP76" s="4">
        <f t="shared" si="91"/>
        <v>16888</v>
      </c>
      <c r="AQ76" s="4">
        <v>1285</v>
      </c>
      <c r="AR76" s="4">
        <f t="shared" si="92"/>
        <v>5159</v>
      </c>
      <c r="AS76" s="4">
        <v>718</v>
      </c>
      <c r="AT76" s="4">
        <f t="shared" si="93"/>
        <v>7294</v>
      </c>
      <c r="AU76" s="4">
        <v>507</v>
      </c>
      <c r="AV76" s="4">
        <f t="shared" si="94"/>
        <v>2034</v>
      </c>
      <c r="AW76" s="4">
        <v>256</v>
      </c>
      <c r="AX76" s="4">
        <f t="shared" si="95"/>
        <v>2453</v>
      </c>
    </row>
    <row r="77" spans="1:50" x14ac:dyDescent="0.25">
      <c r="A77" s="6">
        <v>7</v>
      </c>
      <c r="B77" s="11">
        <v>67</v>
      </c>
      <c r="C77" s="6">
        <v>369</v>
      </c>
      <c r="D77" s="6">
        <f t="shared" si="72"/>
        <v>3941</v>
      </c>
      <c r="E77" s="6">
        <v>356</v>
      </c>
      <c r="F77" s="6">
        <f t="shared" si="73"/>
        <v>14796</v>
      </c>
      <c r="G77" s="6">
        <v>1399</v>
      </c>
      <c r="H77" s="6">
        <f t="shared" si="74"/>
        <v>6937</v>
      </c>
      <c r="I77" s="6">
        <v>836</v>
      </c>
      <c r="J77" s="6">
        <f t="shared" si="75"/>
        <v>18571</v>
      </c>
      <c r="K77" s="6">
        <v>376</v>
      </c>
      <c r="L77" s="6">
        <f t="shared" si="76"/>
        <v>3983</v>
      </c>
      <c r="M77" s="6">
        <v>360</v>
      </c>
      <c r="N77" s="6">
        <f t="shared" si="77"/>
        <v>14867</v>
      </c>
      <c r="O77" s="6">
        <v>1401</v>
      </c>
      <c r="P77" s="6">
        <f t="shared" si="78"/>
        <v>6952</v>
      </c>
      <c r="Q77" s="6">
        <v>836</v>
      </c>
      <c r="R77" s="6">
        <f t="shared" si="79"/>
        <v>18601</v>
      </c>
      <c r="S77" s="6">
        <v>1668</v>
      </c>
      <c r="T77" s="6">
        <f t="shared" si="80"/>
        <v>5234</v>
      </c>
      <c r="U77" s="6">
        <v>748</v>
      </c>
      <c r="V77" s="6">
        <f t="shared" si="81"/>
        <v>6500</v>
      </c>
      <c r="W77" s="6">
        <v>643</v>
      </c>
      <c r="X77" s="6">
        <f t="shared" si="82"/>
        <v>2265</v>
      </c>
      <c r="Y77" s="6">
        <v>272</v>
      </c>
      <c r="Z77" s="6">
        <f t="shared" si="83"/>
        <v>2766</v>
      </c>
      <c r="AA77" s="6">
        <v>481</v>
      </c>
      <c r="AB77" s="6">
        <f t="shared" si="84"/>
        <v>3831</v>
      </c>
      <c r="AC77" s="6">
        <v>393</v>
      </c>
      <c r="AD77" s="6">
        <f t="shared" si="85"/>
        <v>12361</v>
      </c>
      <c r="AE77" s="6">
        <v>2198</v>
      </c>
      <c r="AF77" s="6">
        <f t="shared" si="86"/>
        <v>8690</v>
      </c>
      <c r="AG77" s="6">
        <v>1024</v>
      </c>
      <c r="AH77" s="6">
        <f t="shared" si="87"/>
        <v>17875</v>
      </c>
      <c r="AI77" s="6">
        <v>490</v>
      </c>
      <c r="AJ77" s="6">
        <f t="shared" si="88"/>
        <v>3878</v>
      </c>
      <c r="AK77" s="6">
        <v>397</v>
      </c>
      <c r="AL77" s="6">
        <f t="shared" si="89"/>
        <v>12444</v>
      </c>
      <c r="AM77" s="6">
        <v>2207</v>
      </c>
      <c r="AN77" s="6">
        <f t="shared" si="90"/>
        <v>8720</v>
      </c>
      <c r="AO77" s="6">
        <v>1028</v>
      </c>
      <c r="AP77" s="6">
        <f t="shared" si="91"/>
        <v>17916</v>
      </c>
      <c r="AQ77" s="6">
        <v>2698</v>
      </c>
      <c r="AR77" s="6">
        <f t="shared" si="92"/>
        <v>7857</v>
      </c>
      <c r="AS77" s="6">
        <v>970</v>
      </c>
      <c r="AT77" s="6">
        <f t="shared" si="93"/>
        <v>8264</v>
      </c>
      <c r="AU77" s="6">
        <v>981</v>
      </c>
      <c r="AV77" s="6">
        <f t="shared" si="94"/>
        <v>3015</v>
      </c>
      <c r="AW77" s="6">
        <v>339</v>
      </c>
      <c r="AX77" s="6">
        <f t="shared" si="95"/>
        <v>2792</v>
      </c>
    </row>
    <row r="78" spans="1:50" x14ac:dyDescent="0.25">
      <c r="A78" s="4">
        <v>8</v>
      </c>
      <c r="B78" s="11">
        <v>38</v>
      </c>
      <c r="C78" s="4">
        <v>225</v>
      </c>
      <c r="D78" s="4">
        <f t="shared" si="72"/>
        <v>4166</v>
      </c>
      <c r="E78" s="4">
        <v>252</v>
      </c>
      <c r="F78" s="4">
        <f t="shared" si="73"/>
        <v>15048</v>
      </c>
      <c r="G78" s="4">
        <v>849</v>
      </c>
      <c r="H78" s="4">
        <f t="shared" si="74"/>
        <v>7786</v>
      </c>
      <c r="I78" s="4">
        <v>582</v>
      </c>
      <c r="J78" s="4">
        <f t="shared" si="75"/>
        <v>19153</v>
      </c>
      <c r="K78" s="4">
        <v>226</v>
      </c>
      <c r="L78" s="4">
        <f t="shared" si="76"/>
        <v>4209</v>
      </c>
      <c r="M78" s="4">
        <v>256</v>
      </c>
      <c r="N78" s="4">
        <f t="shared" si="77"/>
        <v>15123</v>
      </c>
      <c r="O78" s="4">
        <v>851</v>
      </c>
      <c r="P78" s="4">
        <f t="shared" si="78"/>
        <v>7803</v>
      </c>
      <c r="Q78" s="4">
        <v>583</v>
      </c>
      <c r="R78" s="4">
        <f t="shared" si="79"/>
        <v>19184</v>
      </c>
      <c r="S78" s="4">
        <v>1038</v>
      </c>
      <c r="T78" s="4">
        <f t="shared" si="80"/>
        <v>6272</v>
      </c>
      <c r="U78" s="4">
        <v>488</v>
      </c>
      <c r="V78" s="4">
        <f t="shared" si="81"/>
        <v>6988</v>
      </c>
      <c r="W78" s="4">
        <v>413</v>
      </c>
      <c r="X78" s="4">
        <f t="shared" si="82"/>
        <v>2678</v>
      </c>
      <c r="Y78" s="4">
        <v>161</v>
      </c>
      <c r="Z78" s="4">
        <f t="shared" si="83"/>
        <v>2927</v>
      </c>
      <c r="AA78" s="4">
        <v>536</v>
      </c>
      <c r="AB78" s="4">
        <f t="shared" si="84"/>
        <v>4367</v>
      </c>
      <c r="AC78" s="4">
        <v>324</v>
      </c>
      <c r="AD78" s="4">
        <f t="shared" si="85"/>
        <v>12685</v>
      </c>
      <c r="AE78" s="4">
        <v>1681</v>
      </c>
      <c r="AF78" s="4">
        <f t="shared" si="86"/>
        <v>10371</v>
      </c>
      <c r="AG78" s="4">
        <v>726</v>
      </c>
      <c r="AH78" s="4">
        <f t="shared" si="87"/>
        <v>18601</v>
      </c>
      <c r="AI78" s="4">
        <v>553</v>
      </c>
      <c r="AJ78" s="4">
        <f t="shared" si="88"/>
        <v>4431</v>
      </c>
      <c r="AK78" s="4">
        <v>330</v>
      </c>
      <c r="AL78" s="4">
        <f t="shared" si="89"/>
        <v>12774</v>
      </c>
      <c r="AM78" s="4">
        <v>1687</v>
      </c>
      <c r="AN78" s="4">
        <f t="shared" si="90"/>
        <v>10407</v>
      </c>
      <c r="AO78" s="4">
        <v>726</v>
      </c>
      <c r="AP78" s="4">
        <f t="shared" si="91"/>
        <v>18642</v>
      </c>
      <c r="AQ78" s="4">
        <v>1850</v>
      </c>
      <c r="AR78" s="4">
        <f t="shared" si="92"/>
        <v>9707</v>
      </c>
      <c r="AS78" s="4">
        <v>582</v>
      </c>
      <c r="AT78" s="4">
        <f t="shared" si="93"/>
        <v>8846</v>
      </c>
      <c r="AU78" s="4">
        <v>716</v>
      </c>
      <c r="AV78" s="4">
        <f t="shared" si="94"/>
        <v>3731</v>
      </c>
      <c r="AW78" s="4">
        <v>186</v>
      </c>
      <c r="AX78" s="4">
        <f t="shared" si="95"/>
        <v>2978</v>
      </c>
    </row>
    <row r="79" spans="1:50" x14ac:dyDescent="0.25">
      <c r="A79" s="6">
        <v>9</v>
      </c>
      <c r="B79" s="11">
        <v>14</v>
      </c>
      <c r="C79" s="6">
        <v>133</v>
      </c>
      <c r="D79" s="6">
        <f t="shared" si="72"/>
        <v>4299</v>
      </c>
      <c r="E79" s="6">
        <v>200</v>
      </c>
      <c r="F79" s="6">
        <f t="shared" si="73"/>
        <v>15248</v>
      </c>
      <c r="G79" s="6">
        <v>528</v>
      </c>
      <c r="H79" s="6">
        <f t="shared" si="74"/>
        <v>8314</v>
      </c>
      <c r="I79" s="6">
        <v>403</v>
      </c>
      <c r="J79" s="6">
        <f t="shared" si="75"/>
        <v>19556</v>
      </c>
      <c r="K79" s="6">
        <v>136</v>
      </c>
      <c r="L79" s="6">
        <f t="shared" si="76"/>
        <v>4345</v>
      </c>
      <c r="M79" s="6">
        <v>203</v>
      </c>
      <c r="N79" s="6">
        <f t="shared" si="77"/>
        <v>15326</v>
      </c>
      <c r="O79" s="6">
        <v>531</v>
      </c>
      <c r="P79" s="6">
        <f t="shared" si="78"/>
        <v>8334</v>
      </c>
      <c r="Q79" s="6">
        <v>404</v>
      </c>
      <c r="R79" s="6">
        <f t="shared" si="79"/>
        <v>19588</v>
      </c>
      <c r="S79" s="6">
        <v>624</v>
      </c>
      <c r="T79" s="6">
        <f t="shared" si="80"/>
        <v>6896</v>
      </c>
      <c r="U79" s="6">
        <v>271</v>
      </c>
      <c r="V79" s="6">
        <f t="shared" si="81"/>
        <v>7259</v>
      </c>
      <c r="W79" s="6">
        <v>229</v>
      </c>
      <c r="X79" s="6">
        <f t="shared" si="82"/>
        <v>2907</v>
      </c>
      <c r="Y79" s="6">
        <v>70</v>
      </c>
      <c r="Z79" s="6">
        <f t="shared" si="83"/>
        <v>2997</v>
      </c>
      <c r="AA79" s="6">
        <v>516</v>
      </c>
      <c r="AB79" s="6">
        <f t="shared" si="84"/>
        <v>4883</v>
      </c>
      <c r="AC79" s="6">
        <v>270</v>
      </c>
      <c r="AD79" s="6">
        <f t="shared" si="85"/>
        <v>12955</v>
      </c>
      <c r="AE79" s="6">
        <v>1418</v>
      </c>
      <c r="AF79" s="6">
        <f t="shared" si="86"/>
        <v>11789</v>
      </c>
      <c r="AG79" s="6">
        <v>527</v>
      </c>
      <c r="AH79" s="6">
        <f t="shared" si="87"/>
        <v>19128</v>
      </c>
      <c r="AI79" s="6">
        <v>526</v>
      </c>
      <c r="AJ79" s="6">
        <f t="shared" si="88"/>
        <v>4957</v>
      </c>
      <c r="AK79" s="6">
        <v>275</v>
      </c>
      <c r="AL79" s="6">
        <f t="shared" si="89"/>
        <v>13049</v>
      </c>
      <c r="AM79" s="6">
        <v>1425</v>
      </c>
      <c r="AN79" s="6">
        <f t="shared" si="90"/>
        <v>11832</v>
      </c>
      <c r="AO79" s="6">
        <v>529</v>
      </c>
      <c r="AP79" s="6">
        <f t="shared" si="91"/>
        <v>19171</v>
      </c>
      <c r="AQ79" s="6">
        <v>1426</v>
      </c>
      <c r="AR79" s="6">
        <f t="shared" si="92"/>
        <v>11133</v>
      </c>
      <c r="AS79" s="6">
        <v>343</v>
      </c>
      <c r="AT79" s="6">
        <f t="shared" si="93"/>
        <v>9189</v>
      </c>
      <c r="AU79" s="6">
        <v>527</v>
      </c>
      <c r="AV79" s="6">
        <f t="shared" si="94"/>
        <v>4258</v>
      </c>
      <c r="AW79" s="6">
        <v>89</v>
      </c>
      <c r="AX79" s="6">
        <f t="shared" si="95"/>
        <v>3067</v>
      </c>
    </row>
    <row r="80" spans="1:50" x14ac:dyDescent="0.25">
      <c r="A80" s="4">
        <v>10</v>
      </c>
      <c r="B80" s="11">
        <v>7</v>
      </c>
      <c r="C80" s="4">
        <v>138</v>
      </c>
      <c r="D80" s="4">
        <f t="shared" si="72"/>
        <v>4437</v>
      </c>
      <c r="E80" s="4">
        <v>354</v>
      </c>
      <c r="F80" s="4">
        <f t="shared" si="73"/>
        <v>15602</v>
      </c>
      <c r="G80" s="4">
        <v>468</v>
      </c>
      <c r="H80" s="4">
        <f t="shared" si="74"/>
        <v>8782</v>
      </c>
      <c r="I80" s="4">
        <v>519</v>
      </c>
      <c r="J80" s="4">
        <f t="shared" si="75"/>
        <v>20075</v>
      </c>
      <c r="K80" s="4">
        <v>143</v>
      </c>
      <c r="L80" s="4">
        <f t="shared" si="76"/>
        <v>4488</v>
      </c>
      <c r="M80" s="4">
        <v>357</v>
      </c>
      <c r="N80" s="4">
        <f t="shared" si="77"/>
        <v>15683</v>
      </c>
      <c r="O80" s="4">
        <v>470</v>
      </c>
      <c r="P80" s="4">
        <f t="shared" si="78"/>
        <v>8804</v>
      </c>
      <c r="Q80" s="4">
        <v>519</v>
      </c>
      <c r="R80" s="4">
        <f t="shared" si="79"/>
        <v>20107</v>
      </c>
      <c r="S80" s="4">
        <v>437</v>
      </c>
      <c r="T80" s="4">
        <f t="shared" si="80"/>
        <v>7333</v>
      </c>
      <c r="U80" s="4">
        <v>191</v>
      </c>
      <c r="V80" s="4">
        <f t="shared" si="81"/>
        <v>7450</v>
      </c>
      <c r="W80" s="4">
        <v>110</v>
      </c>
      <c r="X80" s="4">
        <f t="shared" si="82"/>
        <v>3017</v>
      </c>
      <c r="Y80" s="4">
        <v>29</v>
      </c>
      <c r="Z80" s="4">
        <f t="shared" si="83"/>
        <v>3026</v>
      </c>
      <c r="AA80" s="4">
        <v>542</v>
      </c>
      <c r="AB80" s="4">
        <f t="shared" si="84"/>
        <v>5425</v>
      </c>
      <c r="AC80" s="4">
        <v>360</v>
      </c>
      <c r="AD80" s="4">
        <f t="shared" si="85"/>
        <v>13315</v>
      </c>
      <c r="AE80" s="4">
        <v>1094</v>
      </c>
      <c r="AF80" s="4">
        <f t="shared" si="86"/>
        <v>12883</v>
      </c>
      <c r="AG80" s="4">
        <v>517</v>
      </c>
      <c r="AH80" s="4">
        <f t="shared" si="87"/>
        <v>19645</v>
      </c>
      <c r="AI80" s="4">
        <v>552</v>
      </c>
      <c r="AJ80" s="4">
        <f t="shared" si="88"/>
        <v>5509</v>
      </c>
      <c r="AK80" s="4">
        <v>370</v>
      </c>
      <c r="AL80" s="4">
        <f t="shared" si="89"/>
        <v>13419</v>
      </c>
      <c r="AM80" s="4">
        <v>1105</v>
      </c>
      <c r="AN80" s="4">
        <f t="shared" si="90"/>
        <v>12937</v>
      </c>
      <c r="AO80" s="4">
        <v>521</v>
      </c>
      <c r="AP80" s="4">
        <f t="shared" si="91"/>
        <v>19692</v>
      </c>
      <c r="AQ80" s="4">
        <v>802</v>
      </c>
      <c r="AR80" s="4">
        <f t="shared" si="92"/>
        <v>11935</v>
      </c>
      <c r="AS80" s="4">
        <v>187</v>
      </c>
      <c r="AT80" s="4">
        <f t="shared" si="93"/>
        <v>9376</v>
      </c>
      <c r="AU80" s="4">
        <v>249</v>
      </c>
      <c r="AV80" s="4">
        <f t="shared" si="94"/>
        <v>4507</v>
      </c>
      <c r="AW80" s="4">
        <v>36</v>
      </c>
      <c r="AX80" s="4">
        <f t="shared" si="95"/>
        <v>3103</v>
      </c>
    </row>
    <row r="81" spans="1:50" x14ac:dyDescent="0.25">
      <c r="A81" s="5" t="s">
        <v>7</v>
      </c>
      <c r="B81" s="5"/>
      <c r="C81" s="5">
        <f>SUM(C71:C80)</f>
        <v>4437</v>
      </c>
      <c r="D81" s="5"/>
      <c r="E81" s="5">
        <f>SUM(E71:E80)</f>
        <v>15602</v>
      </c>
      <c r="F81" s="5"/>
      <c r="G81" s="5">
        <f>SUM(G71:G80)</f>
        <v>8782</v>
      </c>
      <c r="H81" s="5"/>
      <c r="I81" s="5">
        <f>SUM(I71:I80)</f>
        <v>20075</v>
      </c>
      <c r="J81" s="5"/>
      <c r="K81" s="5">
        <f>SUM(K71:K80)</f>
        <v>4488</v>
      </c>
      <c r="L81" s="5"/>
      <c r="M81" s="5">
        <f>SUM(M71:M80)</f>
        <v>15683</v>
      </c>
      <c r="N81" s="5"/>
      <c r="O81" s="5">
        <f>SUM(O71:O80)</f>
        <v>8804</v>
      </c>
      <c r="P81" s="5"/>
      <c r="Q81" s="5">
        <f>SUM(Q71:Q80)</f>
        <v>20107</v>
      </c>
      <c r="R81" s="5"/>
      <c r="S81" s="5">
        <f>SUM(S71:S80)</f>
        <v>7333</v>
      </c>
      <c r="T81" s="5"/>
      <c r="U81" s="5">
        <f>SUM(U71:U80)</f>
        <v>7450</v>
      </c>
      <c r="V81" s="5"/>
      <c r="W81" s="5">
        <f>SUM(W71:W80)</f>
        <v>3017</v>
      </c>
      <c r="X81" s="5"/>
      <c r="Y81" s="5">
        <f>SUM(Y71:Y80)</f>
        <v>3026</v>
      </c>
      <c r="Z81" s="5"/>
      <c r="AA81" s="5">
        <f>SUM(AA71:AA80)</f>
        <v>5425</v>
      </c>
      <c r="AB81" s="5"/>
      <c r="AC81" s="5">
        <f>SUM(AC71:AC80)</f>
        <v>13315</v>
      </c>
      <c r="AD81" s="5"/>
      <c r="AE81" s="5">
        <f>SUM(AE71:AE80)</f>
        <v>12883</v>
      </c>
      <c r="AF81" s="5"/>
      <c r="AG81" s="5">
        <f>SUM(AG71:AG80)</f>
        <v>19645</v>
      </c>
      <c r="AH81" s="5"/>
      <c r="AI81" s="5">
        <f>SUM(AI71:AI80)</f>
        <v>5509</v>
      </c>
      <c r="AJ81" s="5"/>
      <c r="AK81" s="5">
        <f>SUM(AK71:AK80)</f>
        <v>13419</v>
      </c>
      <c r="AL81" s="5"/>
      <c r="AM81" s="5">
        <f>SUM(AM71:AM80)</f>
        <v>12937</v>
      </c>
      <c r="AN81" s="5"/>
      <c r="AO81" s="5">
        <f>SUM(AO71:AO80)</f>
        <v>19692</v>
      </c>
      <c r="AP81" s="5"/>
      <c r="AQ81" s="5">
        <f>SUM(AQ71:AQ80)</f>
        <v>11935</v>
      </c>
      <c r="AR81" s="5"/>
      <c r="AS81" s="5">
        <f>SUM(AS71:AS80)</f>
        <v>9376</v>
      </c>
      <c r="AT81" s="5"/>
      <c r="AU81" s="5">
        <f>SUM(AU71:AU80)</f>
        <v>4507</v>
      </c>
      <c r="AV81" s="5"/>
      <c r="AW81" s="5">
        <f>SUM(AW71:AW80)</f>
        <v>3103</v>
      </c>
      <c r="AX81" s="5"/>
    </row>
  </sheetData>
  <mergeCells count="56">
    <mergeCell ref="C68:Z68"/>
    <mergeCell ref="AA68:AX68"/>
    <mergeCell ref="C69:F69"/>
    <mergeCell ref="G69:J69"/>
    <mergeCell ref="K69:N69"/>
    <mergeCell ref="O69:R69"/>
    <mergeCell ref="S69:V69"/>
    <mergeCell ref="W69:Z69"/>
    <mergeCell ref="AA69:AD69"/>
    <mergeCell ref="AE69:AH69"/>
    <mergeCell ref="AI69:AL69"/>
    <mergeCell ref="AM69:AP69"/>
    <mergeCell ref="AQ69:AT69"/>
    <mergeCell ref="AU69:AX69"/>
    <mergeCell ref="AA50:AX50"/>
    <mergeCell ref="C51:F51"/>
    <mergeCell ref="G51:J51"/>
    <mergeCell ref="K51:N51"/>
    <mergeCell ref="O51:R51"/>
    <mergeCell ref="S51:V51"/>
    <mergeCell ref="W51:Z51"/>
    <mergeCell ref="AA51:AD51"/>
    <mergeCell ref="AE51:AH51"/>
    <mergeCell ref="AI51:AL51"/>
    <mergeCell ref="AM51:AP51"/>
    <mergeCell ref="AQ51:AT51"/>
    <mergeCell ref="AU51:AX51"/>
    <mergeCell ref="AA30:AX30"/>
    <mergeCell ref="C31:F31"/>
    <mergeCell ref="G31:J31"/>
    <mergeCell ref="K31:N31"/>
    <mergeCell ref="O31:R31"/>
    <mergeCell ref="S31:V31"/>
    <mergeCell ref="W31:Z31"/>
    <mergeCell ref="AA31:AD31"/>
    <mergeCell ref="AE31:AH31"/>
    <mergeCell ref="AI31:AL31"/>
    <mergeCell ref="AM31:AP31"/>
    <mergeCell ref="AQ31:AT31"/>
    <mergeCell ref="AU31:AX31"/>
    <mergeCell ref="C12:Z12"/>
    <mergeCell ref="AA12:AX12"/>
    <mergeCell ref="C13:F13"/>
    <mergeCell ref="G13:J13"/>
    <mergeCell ref="K13:N13"/>
    <mergeCell ref="O13:R13"/>
    <mergeCell ref="S13:V13"/>
    <mergeCell ref="W13:Z13"/>
    <mergeCell ref="AA13:AD13"/>
    <mergeCell ref="AE13:AH13"/>
    <mergeCell ref="AI13:AL13"/>
    <mergeCell ref="AM13:AP13"/>
    <mergeCell ref="AQ13:AT13"/>
    <mergeCell ref="AU13:AX13"/>
    <mergeCell ref="C30:Z30"/>
    <mergeCell ref="C50:Z5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DA31-8838-4C84-A69C-A1FE47496209}">
  <dimension ref="A5:AH81"/>
  <sheetViews>
    <sheetView tabSelected="1" zoomScale="85" zoomScaleNormal="85" workbookViewId="0">
      <selection activeCell="B71" activeCellId="3" sqref="B15:B24 B33:B42 B53:B62 B71:B80"/>
    </sheetView>
  </sheetViews>
  <sheetFormatPr baseColWidth="10" defaultColWidth="9.140625" defaultRowHeight="15" x14ac:dyDescent="0.25"/>
  <cols>
    <col min="1" max="1" width="25" customWidth="1"/>
    <col min="2" max="2" width="17.42578125" customWidth="1"/>
    <col min="3" max="3" width="7.42578125" bestFit="1" customWidth="1"/>
    <col min="4" max="4" width="9.7109375" bestFit="1" customWidth="1"/>
    <col min="5" max="5" width="7.42578125" bestFit="1" customWidth="1"/>
    <col min="6" max="6" width="9.7109375" bestFit="1" customWidth="1"/>
    <col min="7" max="7" width="7.7109375" bestFit="1" customWidth="1"/>
    <col min="8" max="8" width="9.7109375" bestFit="1" customWidth="1"/>
    <col min="9" max="9" width="7.7109375" bestFit="1" customWidth="1"/>
    <col min="10" max="10" width="9.7109375" bestFit="1" customWidth="1"/>
    <col min="11" max="11" width="7.42578125" bestFit="1" customWidth="1"/>
    <col min="12" max="12" width="9.7109375" bestFit="1" customWidth="1"/>
    <col min="13" max="13" width="7.7109375" bestFit="1" customWidth="1"/>
    <col min="14" max="14" width="9.7109375" bestFit="1" customWidth="1"/>
    <col min="15" max="15" width="7.7109375" bestFit="1" customWidth="1"/>
    <col min="16" max="16" width="9.7109375" bestFit="1" customWidth="1"/>
    <col min="17" max="17" width="7.7109375" bestFit="1" customWidth="1"/>
    <col min="18" max="18" width="9.7109375" bestFit="1" customWidth="1"/>
    <col min="19" max="19" width="7.7109375" bestFit="1" customWidth="1"/>
    <col min="20" max="20" width="9.7109375" bestFit="1" customWidth="1"/>
    <col min="21" max="21" width="7.7109375" bestFit="1" customWidth="1"/>
    <col min="22" max="22" width="9.7109375" bestFit="1" customWidth="1"/>
    <col min="23" max="23" width="7.7109375" bestFit="1" customWidth="1"/>
    <col min="24" max="24" width="9.7109375" bestFit="1" customWidth="1"/>
    <col min="25" max="25" width="7.7109375" bestFit="1" customWidth="1"/>
    <col min="26" max="26" width="9.7109375" bestFit="1" customWidth="1"/>
    <col min="27" max="27" width="7.7109375" bestFit="1" customWidth="1"/>
    <col min="28" max="28" width="9.7109375" bestFit="1" customWidth="1"/>
    <col min="29" max="29" width="7.7109375" bestFit="1" customWidth="1"/>
    <col min="30" max="30" width="9.7109375" bestFit="1" customWidth="1"/>
    <col min="31" max="31" width="7.7109375" bestFit="1" customWidth="1"/>
    <col min="32" max="32" width="9.7109375" bestFit="1" customWidth="1"/>
    <col min="33" max="33" width="7.7109375" bestFit="1" customWidth="1"/>
    <col min="34" max="34" width="9.7109375" bestFit="1" customWidth="1"/>
  </cols>
  <sheetData>
    <row r="5" spans="1:34" x14ac:dyDescent="0.25">
      <c r="A5" s="1" t="s">
        <v>9</v>
      </c>
      <c r="B5" t="str">
        <f ca="1">VLOOKUP(VALUE(LEFT(RIGHT(MID(CELL("Dateiname",A1),FIND("[",CELL("Dateiname",A1))+1,FIND("]",CELL("Dateiname",A1))-FIND("[",CELL("Dateiname",A1))-1),9),4)),[2]REF!A:B,2,FALSE)</f>
        <v>St Josefs Indianer Hilfswerk</v>
      </c>
    </row>
    <row r="6" spans="1:34" x14ac:dyDescent="0.25">
      <c r="A6" s="1" t="s">
        <v>10</v>
      </c>
      <c r="B6" t="str">
        <f ca="1">LEFT(MID(CELL("Dateiname",A1),FIND("[",CELL("Dateiname",A1))+1,FIND("]",CELL("Dateiname",A1))-FIND("[",CELL("Dateiname",A1))-1),14)</f>
        <v>2025-12-02-035</v>
      </c>
    </row>
    <row r="7" spans="1:34" x14ac:dyDescent="0.25">
      <c r="A7" s="1" t="s">
        <v>11</v>
      </c>
      <c r="B7" s="2">
        <f ca="1">TODAY()</f>
        <v>45994</v>
      </c>
      <c r="C7" s="2"/>
    </row>
    <row r="10" spans="1:34" x14ac:dyDescent="0.25">
      <c r="A10" t="s">
        <v>8</v>
      </c>
    </row>
    <row r="12" spans="1:34" x14ac:dyDescent="0.25">
      <c r="A12" s="3"/>
      <c r="B12" s="3"/>
      <c r="C12" s="7" t="s">
        <v>12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/>
      <c r="S12" s="7" t="s">
        <v>14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9"/>
    </row>
    <row r="13" spans="1:34" x14ac:dyDescent="0.25">
      <c r="A13" s="3"/>
      <c r="B13" s="3"/>
      <c r="C13" s="7" t="s">
        <v>1</v>
      </c>
      <c r="D13" s="8"/>
      <c r="E13" s="8"/>
      <c r="F13" s="9"/>
      <c r="G13" s="7" t="s">
        <v>0</v>
      </c>
      <c r="H13" s="8"/>
      <c r="I13" s="8"/>
      <c r="J13" s="9"/>
      <c r="K13" s="7" t="s">
        <v>2</v>
      </c>
      <c r="L13" s="8"/>
      <c r="M13" s="8"/>
      <c r="N13" s="9"/>
      <c r="O13" s="7" t="s">
        <v>3</v>
      </c>
      <c r="P13" s="8"/>
      <c r="Q13" s="8"/>
      <c r="R13" s="9"/>
      <c r="S13" s="7" t="s">
        <v>1</v>
      </c>
      <c r="T13" s="8"/>
      <c r="U13" s="8"/>
      <c r="V13" s="9"/>
      <c r="W13" s="7" t="s">
        <v>0</v>
      </c>
      <c r="X13" s="8"/>
      <c r="Y13" s="8"/>
      <c r="Z13" s="9"/>
      <c r="AA13" s="7" t="s">
        <v>2</v>
      </c>
      <c r="AB13" s="8"/>
      <c r="AC13" s="8"/>
      <c r="AD13" s="9"/>
      <c r="AE13" s="7" t="s">
        <v>3</v>
      </c>
      <c r="AF13" s="8"/>
      <c r="AG13" s="8"/>
      <c r="AH13" s="9"/>
    </row>
    <row r="14" spans="1:34" x14ac:dyDescent="0.25">
      <c r="A14" s="3" t="s">
        <v>6</v>
      </c>
      <c r="B14" s="3" t="s">
        <v>20</v>
      </c>
      <c r="C14" s="3" t="s">
        <v>17</v>
      </c>
      <c r="D14" s="3" t="s">
        <v>19</v>
      </c>
      <c r="E14" s="3" t="s">
        <v>15</v>
      </c>
      <c r="F14" s="3" t="s">
        <v>19</v>
      </c>
      <c r="G14" s="3" t="s">
        <v>17</v>
      </c>
      <c r="H14" s="3" t="s">
        <v>19</v>
      </c>
      <c r="I14" s="3" t="s">
        <v>15</v>
      </c>
      <c r="J14" s="3" t="s">
        <v>19</v>
      </c>
      <c r="K14" s="3" t="s">
        <v>17</v>
      </c>
      <c r="L14" s="3" t="s">
        <v>19</v>
      </c>
      <c r="M14" s="3" t="s">
        <v>15</v>
      </c>
      <c r="N14" s="3" t="s">
        <v>19</v>
      </c>
      <c r="O14" s="3" t="s">
        <v>17</v>
      </c>
      <c r="P14" s="3" t="s">
        <v>19</v>
      </c>
      <c r="Q14" s="3" t="s">
        <v>15</v>
      </c>
      <c r="R14" s="3" t="s">
        <v>19</v>
      </c>
      <c r="S14" s="3" t="s">
        <v>17</v>
      </c>
      <c r="T14" s="3" t="s">
        <v>19</v>
      </c>
      <c r="U14" s="3" t="s">
        <v>15</v>
      </c>
      <c r="V14" s="3" t="s">
        <v>19</v>
      </c>
      <c r="W14" s="3" t="s">
        <v>17</v>
      </c>
      <c r="X14" s="3" t="s">
        <v>19</v>
      </c>
      <c r="Y14" s="3" t="s">
        <v>15</v>
      </c>
      <c r="Z14" s="3" t="s">
        <v>19</v>
      </c>
      <c r="AA14" s="3" t="s">
        <v>17</v>
      </c>
      <c r="AB14" s="3" t="s">
        <v>19</v>
      </c>
      <c r="AC14" s="3" t="s">
        <v>15</v>
      </c>
      <c r="AD14" s="3" t="s">
        <v>19</v>
      </c>
      <c r="AE14" s="3" t="s">
        <v>17</v>
      </c>
      <c r="AF14" s="3" t="s">
        <v>19</v>
      </c>
      <c r="AG14" s="3" t="s">
        <v>15</v>
      </c>
      <c r="AH14" s="3" t="s">
        <v>19</v>
      </c>
    </row>
    <row r="15" spans="1:34" x14ac:dyDescent="0.25">
      <c r="A15" s="6">
        <v>1</v>
      </c>
      <c r="B15" s="10">
        <v>653</v>
      </c>
      <c r="C15" s="6">
        <v>5875</v>
      </c>
      <c r="D15" s="6">
        <f>C15</f>
        <v>5875</v>
      </c>
      <c r="E15" s="6">
        <v>29046</v>
      </c>
      <c r="F15" s="6">
        <f>E15</f>
        <v>29046</v>
      </c>
      <c r="G15" s="6">
        <v>7030</v>
      </c>
      <c r="H15" s="6">
        <f>G15</f>
        <v>7030</v>
      </c>
      <c r="I15" s="6">
        <v>34044</v>
      </c>
      <c r="J15" s="6">
        <f>I15</f>
        <v>34044</v>
      </c>
      <c r="K15" s="6">
        <v>6229</v>
      </c>
      <c r="L15" s="6">
        <f>K15</f>
        <v>6229</v>
      </c>
      <c r="M15" s="6">
        <v>31103</v>
      </c>
      <c r="N15" s="6">
        <f>M15</f>
        <v>31103</v>
      </c>
      <c r="O15" s="6">
        <v>7584</v>
      </c>
      <c r="P15" s="6">
        <f>O15</f>
        <v>7584</v>
      </c>
      <c r="Q15" s="6">
        <v>36915</v>
      </c>
      <c r="R15" s="6">
        <f>Q15</f>
        <v>36915</v>
      </c>
      <c r="S15" s="6">
        <v>3607</v>
      </c>
      <c r="T15" s="6">
        <f>S15</f>
        <v>3607</v>
      </c>
      <c r="U15" s="6">
        <v>22068</v>
      </c>
      <c r="V15" s="6">
        <f>U15</f>
        <v>22068</v>
      </c>
      <c r="W15" s="6">
        <v>5244</v>
      </c>
      <c r="X15" s="6">
        <f>W15</f>
        <v>5244</v>
      </c>
      <c r="Y15" s="6">
        <v>31225</v>
      </c>
      <c r="Z15" s="6">
        <f>Y15</f>
        <v>31225</v>
      </c>
      <c r="AA15" s="6">
        <v>3843</v>
      </c>
      <c r="AB15" s="6">
        <f>AA15</f>
        <v>3843</v>
      </c>
      <c r="AC15" s="6">
        <v>23670</v>
      </c>
      <c r="AD15" s="6">
        <f>AC15</f>
        <v>23670</v>
      </c>
      <c r="AE15" s="6">
        <v>5668</v>
      </c>
      <c r="AF15" s="6">
        <f>AE15</f>
        <v>5668</v>
      </c>
      <c r="AG15" s="6">
        <v>34274</v>
      </c>
      <c r="AH15" s="6">
        <f>AG15</f>
        <v>34274</v>
      </c>
    </row>
    <row r="16" spans="1:34" x14ac:dyDescent="0.25">
      <c r="A16" s="4">
        <v>2</v>
      </c>
      <c r="B16" s="11">
        <v>446</v>
      </c>
      <c r="C16" s="4">
        <v>5866</v>
      </c>
      <c r="D16" s="4">
        <f>C16+D15</f>
        <v>11741</v>
      </c>
      <c r="E16" s="4">
        <v>16666</v>
      </c>
      <c r="F16" s="4">
        <f>E16+F15</f>
        <v>45712</v>
      </c>
      <c r="G16" s="4">
        <v>8332</v>
      </c>
      <c r="H16" s="4">
        <f>G16+H15</f>
        <v>15362</v>
      </c>
      <c r="I16" s="4">
        <v>23996</v>
      </c>
      <c r="J16" s="4">
        <f>I16+J15</f>
        <v>58040</v>
      </c>
      <c r="K16" s="4">
        <v>6358</v>
      </c>
      <c r="L16" s="4">
        <f>K16+L15</f>
        <v>12587</v>
      </c>
      <c r="M16" s="4">
        <v>18219</v>
      </c>
      <c r="N16" s="4">
        <f>M16+N15</f>
        <v>49322</v>
      </c>
      <c r="O16" s="4">
        <v>9262</v>
      </c>
      <c r="P16" s="4">
        <f>O16+P15</f>
        <v>16846</v>
      </c>
      <c r="Q16" s="4">
        <v>26795</v>
      </c>
      <c r="R16" s="4">
        <f>Q16+R15</f>
        <v>63710</v>
      </c>
      <c r="S16" s="4">
        <v>4196</v>
      </c>
      <c r="T16" s="4">
        <f>S16+T15</f>
        <v>7803</v>
      </c>
      <c r="U16" s="4">
        <v>13277</v>
      </c>
      <c r="V16" s="4">
        <f>U16+V15</f>
        <v>35345</v>
      </c>
      <c r="W16" s="4">
        <v>8679</v>
      </c>
      <c r="X16" s="4">
        <f>W16+X15</f>
        <v>13923</v>
      </c>
      <c r="Y16" s="4">
        <v>28716</v>
      </c>
      <c r="Z16" s="4">
        <f>Y16+Z15</f>
        <v>59941</v>
      </c>
      <c r="AA16" s="4">
        <v>4545</v>
      </c>
      <c r="AB16" s="4">
        <f>AA16+AB15</f>
        <v>8388</v>
      </c>
      <c r="AC16" s="4">
        <v>14517</v>
      </c>
      <c r="AD16" s="4">
        <f>AC16+AD15</f>
        <v>38187</v>
      </c>
      <c r="AE16" s="4">
        <v>9565</v>
      </c>
      <c r="AF16" s="4">
        <f>AE16+AF15</f>
        <v>15233</v>
      </c>
      <c r="AG16" s="4">
        <v>32113</v>
      </c>
      <c r="AH16" s="4">
        <f>AG16+AH15</f>
        <v>66387</v>
      </c>
    </row>
    <row r="17" spans="1:34" x14ac:dyDescent="0.25">
      <c r="A17" s="6">
        <v>3</v>
      </c>
      <c r="B17" s="11">
        <v>315</v>
      </c>
      <c r="C17" s="6">
        <v>6647</v>
      </c>
      <c r="D17" s="6">
        <f t="shared" ref="D17:D24" si="0">C17+D16</f>
        <v>18388</v>
      </c>
      <c r="E17" s="6">
        <v>13233</v>
      </c>
      <c r="F17" s="6">
        <f t="shared" ref="F17:F24" si="1">E17+F16</f>
        <v>58945</v>
      </c>
      <c r="G17" s="6">
        <v>11164</v>
      </c>
      <c r="H17" s="6">
        <f t="shared" ref="H17:H24" si="2">G17+H16</f>
        <v>26526</v>
      </c>
      <c r="I17" s="6">
        <v>23608</v>
      </c>
      <c r="J17" s="6">
        <f t="shared" ref="J17:J24" si="3">I17+J16</f>
        <v>81648</v>
      </c>
      <c r="K17" s="6">
        <v>7369</v>
      </c>
      <c r="L17" s="6">
        <f t="shared" ref="L17:L24" si="4">K17+L16</f>
        <v>19956</v>
      </c>
      <c r="M17" s="6">
        <v>14607</v>
      </c>
      <c r="N17" s="6">
        <f t="shared" ref="N17:N24" si="5">M17+N16</f>
        <v>63929</v>
      </c>
      <c r="O17" s="6">
        <v>12654</v>
      </c>
      <c r="P17" s="6">
        <f t="shared" ref="P17:P24" si="6">O17+P16</f>
        <v>29500</v>
      </c>
      <c r="Q17" s="6">
        <v>26677</v>
      </c>
      <c r="R17" s="6">
        <f t="shared" ref="R17:R24" si="7">Q17+R16</f>
        <v>90387</v>
      </c>
      <c r="S17" s="6">
        <v>4828</v>
      </c>
      <c r="T17" s="6">
        <f t="shared" ref="T17:T24" si="8">S17+T16</f>
        <v>12631</v>
      </c>
      <c r="U17" s="6">
        <v>10622</v>
      </c>
      <c r="V17" s="6">
        <f t="shared" ref="V17:V24" si="9">U17+V16</f>
        <v>45967</v>
      </c>
      <c r="W17" s="6">
        <v>11464</v>
      </c>
      <c r="X17" s="6">
        <f t="shared" ref="X17:X24" si="10">W17+X16</f>
        <v>25387</v>
      </c>
      <c r="Y17" s="6">
        <v>26636</v>
      </c>
      <c r="Z17" s="6">
        <f t="shared" ref="Z17:Z24" si="11">Y17+Z16</f>
        <v>86577</v>
      </c>
      <c r="AA17" s="6">
        <v>5336</v>
      </c>
      <c r="AB17" s="6">
        <f t="shared" ref="AB17:AB24" si="12">AA17+AB16</f>
        <v>13724</v>
      </c>
      <c r="AC17" s="6">
        <v>11773</v>
      </c>
      <c r="AD17" s="6">
        <f t="shared" ref="AD17:AD24" si="13">AC17+AD16</f>
        <v>49960</v>
      </c>
      <c r="AE17" s="6">
        <v>12967</v>
      </c>
      <c r="AF17" s="6">
        <f t="shared" ref="AF17:AF24" si="14">AE17+AF16</f>
        <v>28200</v>
      </c>
      <c r="AG17" s="6">
        <v>30104</v>
      </c>
      <c r="AH17" s="6">
        <f t="shared" ref="AH17:AH24" si="15">AG17+AH16</f>
        <v>96491</v>
      </c>
    </row>
    <row r="18" spans="1:34" x14ac:dyDescent="0.25">
      <c r="A18" s="4">
        <v>4</v>
      </c>
      <c r="B18" s="11">
        <v>189</v>
      </c>
      <c r="C18" s="4">
        <v>6523</v>
      </c>
      <c r="D18" s="4">
        <f t="shared" si="0"/>
        <v>24911</v>
      </c>
      <c r="E18" s="4">
        <v>9281</v>
      </c>
      <c r="F18" s="4">
        <f t="shared" si="1"/>
        <v>68226</v>
      </c>
      <c r="G18" s="4">
        <v>13070</v>
      </c>
      <c r="H18" s="4">
        <f t="shared" si="2"/>
        <v>39596</v>
      </c>
      <c r="I18" s="4">
        <v>20483</v>
      </c>
      <c r="J18" s="4">
        <f t="shared" si="3"/>
        <v>102131</v>
      </c>
      <c r="K18" s="4">
        <v>7298</v>
      </c>
      <c r="L18" s="4">
        <f t="shared" si="4"/>
        <v>27254</v>
      </c>
      <c r="M18" s="4">
        <v>10310</v>
      </c>
      <c r="N18" s="4">
        <f t="shared" si="5"/>
        <v>74239</v>
      </c>
      <c r="O18" s="4">
        <v>15102</v>
      </c>
      <c r="P18" s="4">
        <f t="shared" si="6"/>
        <v>44602</v>
      </c>
      <c r="Q18" s="4">
        <v>23371</v>
      </c>
      <c r="R18" s="4">
        <f t="shared" si="7"/>
        <v>113758</v>
      </c>
      <c r="S18" s="4">
        <v>5043</v>
      </c>
      <c r="T18" s="4">
        <f t="shared" si="8"/>
        <v>17674</v>
      </c>
      <c r="U18" s="4">
        <v>8169</v>
      </c>
      <c r="V18" s="4">
        <f t="shared" si="9"/>
        <v>54136</v>
      </c>
      <c r="W18" s="4">
        <v>13898</v>
      </c>
      <c r="X18" s="4">
        <f t="shared" si="10"/>
        <v>39285</v>
      </c>
      <c r="Y18" s="4">
        <v>23841</v>
      </c>
      <c r="Z18" s="4">
        <f t="shared" si="11"/>
        <v>110418</v>
      </c>
      <c r="AA18" s="4">
        <v>5666</v>
      </c>
      <c r="AB18" s="4">
        <f t="shared" si="12"/>
        <v>19390</v>
      </c>
      <c r="AC18" s="4">
        <v>9155</v>
      </c>
      <c r="AD18" s="4">
        <f t="shared" si="13"/>
        <v>59115</v>
      </c>
      <c r="AE18" s="4">
        <v>16081</v>
      </c>
      <c r="AF18" s="4">
        <f t="shared" si="14"/>
        <v>44281</v>
      </c>
      <c r="AG18" s="4">
        <v>27294</v>
      </c>
      <c r="AH18" s="4">
        <f t="shared" si="15"/>
        <v>123785</v>
      </c>
    </row>
    <row r="19" spans="1:34" x14ac:dyDescent="0.25">
      <c r="A19" s="6">
        <v>5</v>
      </c>
      <c r="B19" s="11">
        <v>121</v>
      </c>
      <c r="C19" s="6">
        <v>7184</v>
      </c>
      <c r="D19" s="6">
        <f t="shared" si="0"/>
        <v>32095</v>
      </c>
      <c r="E19" s="6">
        <v>7864</v>
      </c>
      <c r="F19" s="6">
        <f t="shared" si="1"/>
        <v>76090</v>
      </c>
      <c r="G19" s="6">
        <v>16699</v>
      </c>
      <c r="H19" s="6">
        <f t="shared" si="2"/>
        <v>56295</v>
      </c>
      <c r="I19" s="6">
        <v>19958</v>
      </c>
      <c r="J19" s="6">
        <f t="shared" si="3"/>
        <v>122089</v>
      </c>
      <c r="K19" s="6">
        <v>8153</v>
      </c>
      <c r="L19" s="6">
        <f t="shared" si="4"/>
        <v>35407</v>
      </c>
      <c r="M19" s="6">
        <v>8778</v>
      </c>
      <c r="N19" s="6">
        <f t="shared" si="5"/>
        <v>83017</v>
      </c>
      <c r="O19" s="6">
        <v>19598</v>
      </c>
      <c r="P19" s="6">
        <f t="shared" si="6"/>
        <v>64200</v>
      </c>
      <c r="Q19" s="6">
        <v>22844</v>
      </c>
      <c r="R19" s="6">
        <f t="shared" si="7"/>
        <v>136602</v>
      </c>
      <c r="S19" s="6">
        <v>5823</v>
      </c>
      <c r="T19" s="6">
        <f t="shared" si="8"/>
        <v>23497</v>
      </c>
      <c r="U19" s="6">
        <v>7346</v>
      </c>
      <c r="V19" s="6">
        <f t="shared" si="9"/>
        <v>61482</v>
      </c>
      <c r="W19" s="6">
        <v>18735</v>
      </c>
      <c r="X19" s="6">
        <f t="shared" si="10"/>
        <v>58020</v>
      </c>
      <c r="Y19" s="6">
        <v>23019</v>
      </c>
      <c r="Z19" s="6">
        <f t="shared" si="11"/>
        <v>133437</v>
      </c>
      <c r="AA19" s="6">
        <v>6619</v>
      </c>
      <c r="AB19" s="6">
        <f t="shared" si="12"/>
        <v>26009</v>
      </c>
      <c r="AC19" s="6">
        <v>8278</v>
      </c>
      <c r="AD19" s="6">
        <f t="shared" si="13"/>
        <v>67393</v>
      </c>
      <c r="AE19" s="6">
        <v>21957</v>
      </c>
      <c r="AF19" s="6">
        <f t="shared" si="14"/>
        <v>66238</v>
      </c>
      <c r="AG19" s="6">
        <v>26688</v>
      </c>
      <c r="AH19" s="6">
        <f t="shared" si="15"/>
        <v>150473</v>
      </c>
    </row>
    <row r="20" spans="1:34" x14ac:dyDescent="0.25">
      <c r="A20" s="4">
        <v>6</v>
      </c>
      <c r="B20" s="11">
        <v>95</v>
      </c>
      <c r="C20" s="4">
        <v>8154</v>
      </c>
      <c r="D20" s="4">
        <f t="shared" si="0"/>
        <v>40249</v>
      </c>
      <c r="E20" s="4">
        <v>6721</v>
      </c>
      <c r="F20" s="4">
        <f t="shared" si="1"/>
        <v>82811</v>
      </c>
      <c r="G20" s="4">
        <v>21197</v>
      </c>
      <c r="H20" s="4">
        <f t="shared" si="2"/>
        <v>77492</v>
      </c>
      <c r="I20" s="4">
        <v>19048</v>
      </c>
      <c r="J20" s="4">
        <f t="shared" si="3"/>
        <v>141137</v>
      </c>
      <c r="K20" s="4">
        <v>9296</v>
      </c>
      <c r="L20" s="4">
        <f t="shared" si="4"/>
        <v>44703</v>
      </c>
      <c r="M20" s="4">
        <v>7603</v>
      </c>
      <c r="N20" s="4">
        <f t="shared" si="5"/>
        <v>90620</v>
      </c>
      <c r="O20" s="4">
        <v>25076</v>
      </c>
      <c r="P20" s="4">
        <f t="shared" si="6"/>
        <v>89276</v>
      </c>
      <c r="Q20" s="4">
        <v>21902</v>
      </c>
      <c r="R20" s="4">
        <f t="shared" si="7"/>
        <v>158504</v>
      </c>
      <c r="S20" s="4">
        <v>7410</v>
      </c>
      <c r="T20" s="4">
        <f t="shared" si="8"/>
        <v>30907</v>
      </c>
      <c r="U20" s="4">
        <v>7759</v>
      </c>
      <c r="V20" s="4">
        <f t="shared" si="9"/>
        <v>69241</v>
      </c>
      <c r="W20" s="4">
        <v>26081</v>
      </c>
      <c r="X20" s="4">
        <f t="shared" si="10"/>
        <v>84101</v>
      </c>
      <c r="Y20" s="4">
        <v>25659</v>
      </c>
      <c r="Z20" s="4">
        <f t="shared" si="11"/>
        <v>159096</v>
      </c>
      <c r="AA20" s="4">
        <v>8506</v>
      </c>
      <c r="AB20" s="4">
        <f t="shared" si="12"/>
        <v>34515</v>
      </c>
      <c r="AC20" s="4">
        <v>8739</v>
      </c>
      <c r="AD20" s="4">
        <f t="shared" si="13"/>
        <v>76132</v>
      </c>
      <c r="AE20" s="4">
        <v>30725</v>
      </c>
      <c r="AF20" s="4">
        <f t="shared" si="14"/>
        <v>96963</v>
      </c>
      <c r="AG20" s="4">
        <v>29419</v>
      </c>
      <c r="AH20" s="4">
        <f t="shared" si="15"/>
        <v>179892</v>
      </c>
    </row>
    <row r="21" spans="1:34" x14ac:dyDescent="0.25">
      <c r="A21" s="6">
        <v>7</v>
      </c>
      <c r="B21" s="11">
        <v>67</v>
      </c>
      <c r="C21" s="6">
        <v>8744</v>
      </c>
      <c r="D21" s="6">
        <f t="shared" si="0"/>
        <v>48993</v>
      </c>
      <c r="E21" s="6">
        <v>6377</v>
      </c>
      <c r="F21" s="6">
        <f t="shared" si="1"/>
        <v>89188</v>
      </c>
      <c r="G21" s="6">
        <v>27683</v>
      </c>
      <c r="H21" s="6">
        <f t="shared" si="2"/>
        <v>105175</v>
      </c>
      <c r="I21" s="6">
        <v>21233</v>
      </c>
      <c r="J21" s="6">
        <f t="shared" si="3"/>
        <v>162370</v>
      </c>
      <c r="K21" s="6">
        <v>10076</v>
      </c>
      <c r="L21" s="6">
        <f t="shared" si="4"/>
        <v>54779</v>
      </c>
      <c r="M21" s="6">
        <v>7198</v>
      </c>
      <c r="N21" s="6">
        <f t="shared" si="5"/>
        <v>97818</v>
      </c>
      <c r="O21" s="6">
        <v>32576</v>
      </c>
      <c r="P21" s="6">
        <f t="shared" si="6"/>
        <v>121852</v>
      </c>
      <c r="Q21" s="6">
        <v>24155</v>
      </c>
      <c r="R21" s="6">
        <f t="shared" si="7"/>
        <v>182659</v>
      </c>
      <c r="S21" s="6">
        <v>8977</v>
      </c>
      <c r="T21" s="6">
        <f t="shared" si="8"/>
        <v>39884</v>
      </c>
      <c r="U21" s="6">
        <v>7540</v>
      </c>
      <c r="V21" s="6">
        <f t="shared" si="9"/>
        <v>76781</v>
      </c>
      <c r="W21" s="6">
        <v>34784</v>
      </c>
      <c r="X21" s="6">
        <f t="shared" si="10"/>
        <v>118885</v>
      </c>
      <c r="Y21" s="6">
        <v>26019</v>
      </c>
      <c r="Z21" s="6">
        <f t="shared" si="11"/>
        <v>185115</v>
      </c>
      <c r="AA21" s="6">
        <v>10479</v>
      </c>
      <c r="AB21" s="6">
        <f t="shared" si="12"/>
        <v>44994</v>
      </c>
      <c r="AC21" s="6">
        <v>8597</v>
      </c>
      <c r="AD21" s="6">
        <f t="shared" si="13"/>
        <v>84729</v>
      </c>
      <c r="AE21" s="6">
        <v>41193</v>
      </c>
      <c r="AF21" s="6">
        <f t="shared" si="14"/>
        <v>138156</v>
      </c>
      <c r="AG21" s="6">
        <v>30052</v>
      </c>
      <c r="AH21" s="6">
        <f t="shared" si="15"/>
        <v>209944</v>
      </c>
    </row>
    <row r="22" spans="1:34" x14ac:dyDescent="0.25">
      <c r="A22" s="4">
        <v>8</v>
      </c>
      <c r="B22" s="11">
        <v>38</v>
      </c>
      <c r="C22" s="4">
        <v>5691</v>
      </c>
      <c r="D22" s="4">
        <f t="shared" si="0"/>
        <v>54684</v>
      </c>
      <c r="E22" s="4">
        <v>3775</v>
      </c>
      <c r="F22" s="4">
        <f t="shared" si="1"/>
        <v>92963</v>
      </c>
      <c r="G22" s="4">
        <v>19481</v>
      </c>
      <c r="H22" s="4">
        <f t="shared" si="2"/>
        <v>124656</v>
      </c>
      <c r="I22" s="4">
        <v>13203</v>
      </c>
      <c r="J22" s="4">
        <f t="shared" si="3"/>
        <v>175573</v>
      </c>
      <c r="K22" s="4">
        <v>6548</v>
      </c>
      <c r="L22" s="4">
        <f t="shared" si="4"/>
        <v>61327</v>
      </c>
      <c r="M22" s="4">
        <v>4222</v>
      </c>
      <c r="N22" s="4">
        <f t="shared" si="5"/>
        <v>102040</v>
      </c>
      <c r="O22" s="4">
        <v>23251</v>
      </c>
      <c r="P22" s="4">
        <f t="shared" si="6"/>
        <v>145103</v>
      </c>
      <c r="Q22" s="4">
        <v>15204</v>
      </c>
      <c r="R22" s="4">
        <f t="shared" si="7"/>
        <v>197863</v>
      </c>
      <c r="S22" s="4">
        <v>13321</v>
      </c>
      <c r="T22" s="4">
        <f t="shared" si="8"/>
        <v>53205</v>
      </c>
      <c r="U22" s="4">
        <v>8181</v>
      </c>
      <c r="V22" s="4">
        <f t="shared" si="9"/>
        <v>84962</v>
      </c>
      <c r="W22" s="4">
        <v>40826</v>
      </c>
      <c r="X22" s="4">
        <f t="shared" si="10"/>
        <v>159711</v>
      </c>
      <c r="Y22" s="4">
        <v>22072</v>
      </c>
      <c r="Z22" s="4">
        <f t="shared" si="11"/>
        <v>207187</v>
      </c>
      <c r="AA22" s="4">
        <v>15386</v>
      </c>
      <c r="AB22" s="4">
        <f t="shared" si="12"/>
        <v>60380</v>
      </c>
      <c r="AC22" s="4">
        <v>9284</v>
      </c>
      <c r="AD22" s="4">
        <f t="shared" si="13"/>
        <v>94013</v>
      </c>
      <c r="AE22" s="4">
        <v>49358</v>
      </c>
      <c r="AF22" s="4">
        <f t="shared" si="14"/>
        <v>187514</v>
      </c>
      <c r="AG22" s="4">
        <v>26043</v>
      </c>
      <c r="AH22" s="4">
        <f t="shared" si="15"/>
        <v>235987</v>
      </c>
    </row>
    <row r="23" spans="1:34" x14ac:dyDescent="0.25">
      <c r="A23" s="6">
        <v>9</v>
      </c>
      <c r="B23" s="11">
        <v>14</v>
      </c>
      <c r="C23" s="6">
        <v>3714</v>
      </c>
      <c r="D23" s="6">
        <f t="shared" si="0"/>
        <v>58398</v>
      </c>
      <c r="E23" s="6">
        <v>2178</v>
      </c>
      <c r="F23" s="6">
        <f t="shared" si="1"/>
        <v>95141</v>
      </c>
      <c r="G23" s="6">
        <v>17381</v>
      </c>
      <c r="H23" s="6">
        <f t="shared" si="2"/>
        <v>142037</v>
      </c>
      <c r="I23" s="6">
        <v>10500</v>
      </c>
      <c r="J23" s="6">
        <f t="shared" si="3"/>
        <v>186073</v>
      </c>
      <c r="K23" s="6">
        <v>4257</v>
      </c>
      <c r="L23" s="6">
        <f t="shared" si="4"/>
        <v>65584</v>
      </c>
      <c r="M23" s="6">
        <v>2476</v>
      </c>
      <c r="N23" s="6">
        <f t="shared" si="5"/>
        <v>104516</v>
      </c>
      <c r="O23" s="6">
        <v>20510</v>
      </c>
      <c r="P23" s="6">
        <f t="shared" si="6"/>
        <v>165613</v>
      </c>
      <c r="Q23" s="6">
        <v>12024</v>
      </c>
      <c r="R23" s="6">
        <f t="shared" si="7"/>
        <v>209887</v>
      </c>
      <c r="S23" s="6">
        <v>25396</v>
      </c>
      <c r="T23" s="6">
        <f t="shared" si="8"/>
        <v>78601</v>
      </c>
      <c r="U23" s="6">
        <v>9076</v>
      </c>
      <c r="V23" s="6">
        <f t="shared" si="9"/>
        <v>94038</v>
      </c>
      <c r="W23" s="6">
        <v>87012</v>
      </c>
      <c r="X23" s="6">
        <f t="shared" si="10"/>
        <v>246723</v>
      </c>
      <c r="Y23" s="6">
        <v>24531</v>
      </c>
      <c r="Z23" s="6">
        <f t="shared" si="11"/>
        <v>231718</v>
      </c>
      <c r="AA23" s="6">
        <v>29117</v>
      </c>
      <c r="AB23" s="6">
        <f t="shared" si="12"/>
        <v>89497</v>
      </c>
      <c r="AC23" s="6">
        <v>10310</v>
      </c>
      <c r="AD23" s="6">
        <f t="shared" si="13"/>
        <v>104323</v>
      </c>
      <c r="AE23" s="6">
        <v>103046</v>
      </c>
      <c r="AF23" s="6">
        <f t="shared" si="14"/>
        <v>290560</v>
      </c>
      <c r="AG23" s="6">
        <v>28838</v>
      </c>
      <c r="AH23" s="6">
        <f t="shared" si="15"/>
        <v>264825</v>
      </c>
    </row>
    <row r="24" spans="1:34" x14ac:dyDescent="0.25">
      <c r="A24" s="4">
        <v>10</v>
      </c>
      <c r="B24" s="11">
        <v>7</v>
      </c>
      <c r="C24" s="4">
        <v>2200</v>
      </c>
      <c r="D24" s="4">
        <f t="shared" si="0"/>
        <v>60598</v>
      </c>
      <c r="E24" s="4">
        <v>1487</v>
      </c>
      <c r="F24" s="4">
        <f t="shared" si="1"/>
        <v>96628</v>
      </c>
      <c r="G24" s="4">
        <v>17003</v>
      </c>
      <c r="H24" s="4">
        <f t="shared" si="2"/>
        <v>159040</v>
      </c>
      <c r="I24" s="4">
        <v>7991</v>
      </c>
      <c r="J24" s="4">
        <f t="shared" si="3"/>
        <v>194064</v>
      </c>
      <c r="K24" s="4">
        <v>2548</v>
      </c>
      <c r="L24" s="4">
        <f t="shared" si="4"/>
        <v>68132</v>
      </c>
      <c r="M24" s="4">
        <v>1629</v>
      </c>
      <c r="N24" s="4">
        <f t="shared" si="5"/>
        <v>106145</v>
      </c>
      <c r="O24" s="4">
        <v>19894</v>
      </c>
      <c r="P24" s="4">
        <f t="shared" si="6"/>
        <v>185507</v>
      </c>
      <c r="Q24" s="4">
        <v>9011</v>
      </c>
      <c r="R24" s="4">
        <f t="shared" si="7"/>
        <v>218898</v>
      </c>
      <c r="S24" s="4">
        <v>39303</v>
      </c>
      <c r="T24" s="4">
        <f t="shared" si="8"/>
        <v>117904</v>
      </c>
      <c r="U24" s="4">
        <v>8243</v>
      </c>
      <c r="V24" s="4">
        <f t="shared" si="9"/>
        <v>102281</v>
      </c>
      <c r="W24" s="4">
        <v>96021</v>
      </c>
      <c r="X24" s="4">
        <f t="shared" si="10"/>
        <v>342744</v>
      </c>
      <c r="Y24" s="4">
        <v>18028</v>
      </c>
      <c r="Z24" s="4">
        <f t="shared" si="11"/>
        <v>249746</v>
      </c>
      <c r="AA24" s="4">
        <v>44803</v>
      </c>
      <c r="AB24" s="4">
        <f t="shared" si="12"/>
        <v>134300</v>
      </c>
      <c r="AC24" s="4">
        <v>9168</v>
      </c>
      <c r="AD24" s="4">
        <f t="shared" si="13"/>
        <v>113491</v>
      </c>
      <c r="AE24" s="4">
        <v>113726</v>
      </c>
      <c r="AF24" s="4">
        <f t="shared" si="14"/>
        <v>404286</v>
      </c>
      <c r="AG24" s="4">
        <v>20861</v>
      </c>
      <c r="AH24" s="4">
        <f t="shared" si="15"/>
        <v>285686</v>
      </c>
    </row>
    <row r="25" spans="1:34" x14ac:dyDescent="0.25">
      <c r="A25" s="5" t="s">
        <v>7</v>
      </c>
      <c r="B25" s="5"/>
      <c r="C25" s="5">
        <f>SUM(C15:C24)</f>
        <v>60598</v>
      </c>
      <c r="D25" s="5"/>
      <c r="E25" s="5">
        <f>SUM(E15:E24)</f>
        <v>96628</v>
      </c>
      <c r="F25" s="5"/>
      <c r="G25" s="5">
        <f>SUM(G15:G24)</f>
        <v>159040</v>
      </c>
      <c r="H25" s="5"/>
      <c r="I25" s="5">
        <f>SUM(I15:I24)</f>
        <v>194064</v>
      </c>
      <c r="J25" s="5"/>
      <c r="K25" s="5">
        <f>SUM(K15:K24)</f>
        <v>68132</v>
      </c>
      <c r="L25" s="5"/>
      <c r="M25" s="5">
        <f>SUM(M15:M24)</f>
        <v>106145</v>
      </c>
      <c r="N25" s="5"/>
      <c r="O25" s="5">
        <f>SUM(O15:O24)</f>
        <v>185507</v>
      </c>
      <c r="P25" s="5"/>
      <c r="Q25" s="5">
        <f>SUM(Q15:Q24)</f>
        <v>218898</v>
      </c>
      <c r="R25" s="5"/>
      <c r="S25" s="5">
        <f>SUM(S15:S24)</f>
        <v>117904</v>
      </c>
      <c r="T25" s="5"/>
      <c r="U25" s="5">
        <f>SUM(U15:U24)</f>
        <v>102281</v>
      </c>
      <c r="V25" s="5"/>
      <c r="W25" s="5">
        <f>SUM(W15:W24)</f>
        <v>342744</v>
      </c>
      <c r="X25" s="5"/>
      <c r="Y25" s="5">
        <f>SUM(Y15:Y24)</f>
        <v>249746</v>
      </c>
      <c r="Z25" s="5"/>
      <c r="AA25" s="5">
        <f>SUM(AA15:AA24)</f>
        <v>134300</v>
      </c>
      <c r="AB25" s="5"/>
      <c r="AC25" s="5">
        <f>SUM(AC15:AC24)</f>
        <v>113491</v>
      </c>
      <c r="AD25" s="5"/>
      <c r="AE25" s="5">
        <f>SUM(AE15:AE24)</f>
        <v>404286</v>
      </c>
      <c r="AF25" s="5"/>
      <c r="AG25" s="5">
        <f>SUM(AG15:AG24)</f>
        <v>285686</v>
      </c>
      <c r="AH25" s="5"/>
    </row>
    <row r="28" spans="1:34" x14ac:dyDescent="0.25">
      <c r="A28" t="s">
        <v>13</v>
      </c>
    </row>
    <row r="30" spans="1:34" x14ac:dyDescent="0.25">
      <c r="A30" s="3"/>
      <c r="B30" s="3"/>
      <c r="C30" s="7" t="s">
        <v>12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9"/>
      <c r="S30" s="7" t="s">
        <v>14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9"/>
    </row>
    <row r="31" spans="1:34" x14ac:dyDescent="0.25">
      <c r="A31" s="3"/>
      <c r="B31" s="3"/>
      <c r="C31" s="7" t="s">
        <v>1</v>
      </c>
      <c r="D31" s="8"/>
      <c r="E31" s="8"/>
      <c r="F31" s="9"/>
      <c r="G31" s="7" t="s">
        <v>0</v>
      </c>
      <c r="H31" s="8"/>
      <c r="I31" s="8"/>
      <c r="J31" s="9"/>
      <c r="K31" s="7" t="s">
        <v>2</v>
      </c>
      <c r="L31" s="8"/>
      <c r="M31" s="8"/>
      <c r="N31" s="9"/>
      <c r="O31" s="7" t="s">
        <v>3</v>
      </c>
      <c r="P31" s="8"/>
      <c r="Q31" s="8"/>
      <c r="R31" s="9"/>
      <c r="S31" s="7" t="s">
        <v>1</v>
      </c>
      <c r="T31" s="8"/>
      <c r="U31" s="8"/>
      <c r="V31" s="9"/>
      <c r="W31" s="7" t="s">
        <v>0</v>
      </c>
      <c r="X31" s="8"/>
      <c r="Y31" s="8"/>
      <c r="Z31" s="9"/>
      <c r="AA31" s="7" t="s">
        <v>2</v>
      </c>
      <c r="AB31" s="8"/>
      <c r="AC31" s="8"/>
      <c r="AD31" s="9"/>
      <c r="AE31" s="7" t="s">
        <v>3</v>
      </c>
      <c r="AF31" s="8"/>
      <c r="AG31" s="8"/>
      <c r="AH31" s="9"/>
    </row>
    <row r="32" spans="1:34" x14ac:dyDescent="0.25">
      <c r="A32" s="3" t="s">
        <v>6</v>
      </c>
      <c r="B32" s="3" t="s">
        <v>20</v>
      </c>
      <c r="C32" s="3" t="s">
        <v>17</v>
      </c>
      <c r="D32" s="3" t="s">
        <v>19</v>
      </c>
      <c r="E32" s="3" t="s">
        <v>15</v>
      </c>
      <c r="F32" s="3" t="s">
        <v>19</v>
      </c>
      <c r="G32" s="3" t="s">
        <v>17</v>
      </c>
      <c r="H32" s="3" t="s">
        <v>19</v>
      </c>
      <c r="I32" s="3" t="s">
        <v>15</v>
      </c>
      <c r="J32" s="3" t="s">
        <v>19</v>
      </c>
      <c r="K32" s="3" t="s">
        <v>17</v>
      </c>
      <c r="L32" s="3" t="s">
        <v>19</v>
      </c>
      <c r="M32" s="3" t="s">
        <v>15</v>
      </c>
      <c r="N32" s="3" t="s">
        <v>19</v>
      </c>
      <c r="O32" s="3" t="s">
        <v>17</v>
      </c>
      <c r="P32" s="3" t="s">
        <v>19</v>
      </c>
      <c r="Q32" s="3" t="s">
        <v>15</v>
      </c>
      <c r="R32" s="3" t="s">
        <v>19</v>
      </c>
      <c r="S32" s="3" t="s">
        <v>17</v>
      </c>
      <c r="T32" s="3" t="s">
        <v>19</v>
      </c>
      <c r="U32" s="3" t="s">
        <v>15</v>
      </c>
      <c r="V32" s="3" t="s">
        <v>19</v>
      </c>
      <c r="W32" s="3" t="s">
        <v>17</v>
      </c>
      <c r="X32" s="3" t="s">
        <v>19</v>
      </c>
      <c r="Y32" s="3" t="s">
        <v>15</v>
      </c>
      <c r="Z32" s="3" t="s">
        <v>19</v>
      </c>
      <c r="AA32" s="3" t="s">
        <v>17</v>
      </c>
      <c r="AB32" s="3" t="s">
        <v>19</v>
      </c>
      <c r="AC32" s="3" t="s">
        <v>15</v>
      </c>
      <c r="AD32" s="3" t="s">
        <v>19</v>
      </c>
      <c r="AE32" s="3" t="s">
        <v>17</v>
      </c>
      <c r="AF32" s="3" t="s">
        <v>19</v>
      </c>
      <c r="AG32" s="3" t="s">
        <v>15</v>
      </c>
      <c r="AH32" s="3" t="s">
        <v>19</v>
      </c>
    </row>
    <row r="33" spans="1:34" x14ac:dyDescent="0.25">
      <c r="A33" s="6">
        <v>1</v>
      </c>
      <c r="B33" s="10">
        <v>653</v>
      </c>
      <c r="C33" s="6">
        <v>3378</v>
      </c>
      <c r="D33" s="6">
        <f>C33</f>
        <v>3378</v>
      </c>
      <c r="E33" s="6">
        <v>26800</v>
      </c>
      <c r="F33" s="6">
        <f>E33</f>
        <v>26800</v>
      </c>
      <c r="G33" s="6">
        <v>4067</v>
      </c>
      <c r="H33" s="6">
        <f>G33</f>
        <v>4067</v>
      </c>
      <c r="I33" s="6">
        <v>31108</v>
      </c>
      <c r="J33" s="6">
        <f>I33</f>
        <v>31108</v>
      </c>
      <c r="K33" s="6">
        <v>3597</v>
      </c>
      <c r="L33" s="6">
        <f>K33</f>
        <v>3597</v>
      </c>
      <c r="M33" s="6">
        <v>28416</v>
      </c>
      <c r="N33" s="6">
        <f>M33</f>
        <v>28416</v>
      </c>
      <c r="O33" s="6">
        <v>4397</v>
      </c>
      <c r="P33" s="6">
        <f>O33</f>
        <v>4397</v>
      </c>
      <c r="Q33" s="6">
        <v>33307</v>
      </c>
      <c r="R33" s="6">
        <f>Q33</f>
        <v>33307</v>
      </c>
      <c r="S33" s="6">
        <v>3490</v>
      </c>
      <c r="T33" s="6">
        <f>S33</f>
        <v>3490</v>
      </c>
      <c r="U33" s="6">
        <v>21540</v>
      </c>
      <c r="V33" s="6">
        <f>U33</f>
        <v>21540</v>
      </c>
      <c r="W33" s="6">
        <v>4998</v>
      </c>
      <c r="X33" s="6">
        <f>W33</f>
        <v>4998</v>
      </c>
      <c r="Y33" s="6">
        <v>30287</v>
      </c>
      <c r="Z33" s="6">
        <f>Y33</f>
        <v>30287</v>
      </c>
      <c r="AA33" s="6">
        <v>3672</v>
      </c>
      <c r="AB33" s="6">
        <f>AA33</f>
        <v>3672</v>
      </c>
      <c r="AC33" s="6">
        <v>22927</v>
      </c>
      <c r="AD33" s="6">
        <f>AC33</f>
        <v>22927</v>
      </c>
      <c r="AE33" s="6">
        <v>5305</v>
      </c>
      <c r="AF33" s="6">
        <f>AE33</f>
        <v>5305</v>
      </c>
      <c r="AG33" s="6">
        <v>32925</v>
      </c>
      <c r="AH33" s="6">
        <f>AG33</f>
        <v>32925</v>
      </c>
    </row>
    <row r="34" spans="1:34" x14ac:dyDescent="0.25">
      <c r="A34" s="4">
        <v>2</v>
      </c>
      <c r="B34" s="11">
        <v>446</v>
      </c>
      <c r="C34" s="4">
        <v>3369</v>
      </c>
      <c r="D34" s="4">
        <f>C34+D33</f>
        <v>6747</v>
      </c>
      <c r="E34" s="4">
        <v>8071</v>
      </c>
      <c r="F34" s="4">
        <f>E34+F33</f>
        <v>34871</v>
      </c>
      <c r="G34" s="4">
        <v>4900</v>
      </c>
      <c r="H34" s="4">
        <f>G34+H33</f>
        <v>8967</v>
      </c>
      <c r="I34" s="4">
        <v>12376</v>
      </c>
      <c r="J34" s="4">
        <f>I34+J33</f>
        <v>43484</v>
      </c>
      <c r="K34" s="4">
        <v>3649</v>
      </c>
      <c r="L34" s="4">
        <f>K34+L33</f>
        <v>7246</v>
      </c>
      <c r="M34" s="4">
        <v>8770</v>
      </c>
      <c r="N34" s="4">
        <f>M34+N33</f>
        <v>37186</v>
      </c>
      <c r="O34" s="4">
        <v>5416</v>
      </c>
      <c r="P34" s="4">
        <f>O34+P33</f>
        <v>9813</v>
      </c>
      <c r="Q34" s="4">
        <v>13628</v>
      </c>
      <c r="R34" s="4">
        <f>Q34+R33</f>
        <v>46935</v>
      </c>
      <c r="S34" s="4">
        <v>3949</v>
      </c>
      <c r="T34" s="4">
        <f>S34+T33</f>
        <v>7439</v>
      </c>
      <c r="U34" s="4">
        <v>10475</v>
      </c>
      <c r="V34" s="4">
        <f>U34+V33</f>
        <v>32015</v>
      </c>
      <c r="W34" s="4">
        <v>8068</v>
      </c>
      <c r="X34" s="4">
        <f>W34+X33</f>
        <v>13066</v>
      </c>
      <c r="Y34" s="4">
        <v>23742</v>
      </c>
      <c r="Z34" s="4">
        <f>Y34+Z33</f>
        <v>54029</v>
      </c>
      <c r="AA34" s="4">
        <v>4220</v>
      </c>
      <c r="AB34" s="4">
        <f>AA34+AB33</f>
        <v>7892</v>
      </c>
      <c r="AC34" s="4">
        <v>11399</v>
      </c>
      <c r="AD34" s="4">
        <f>AC34+AD33</f>
        <v>34326</v>
      </c>
      <c r="AE34" s="4">
        <v>8717</v>
      </c>
      <c r="AF34" s="4">
        <f>AE34+AF33</f>
        <v>14022</v>
      </c>
      <c r="AG34" s="4">
        <v>26333</v>
      </c>
      <c r="AH34" s="4">
        <f>AG34+AH33</f>
        <v>59258</v>
      </c>
    </row>
    <row r="35" spans="1:34" x14ac:dyDescent="0.25">
      <c r="A35" s="6">
        <v>3</v>
      </c>
      <c r="B35" s="11">
        <v>315</v>
      </c>
      <c r="C35" s="6">
        <v>3817</v>
      </c>
      <c r="D35" s="6">
        <f t="shared" ref="D35:D42" si="16">C35+D34</f>
        <v>10564</v>
      </c>
      <c r="E35" s="6">
        <v>6712</v>
      </c>
      <c r="F35" s="6">
        <f t="shared" ref="F35:F42" si="17">E35+F34</f>
        <v>41583</v>
      </c>
      <c r="G35" s="6">
        <v>6661</v>
      </c>
      <c r="H35" s="6">
        <f t="shared" ref="H35:H42" si="18">G35+H34</f>
        <v>15628</v>
      </c>
      <c r="I35" s="6">
        <v>13015</v>
      </c>
      <c r="J35" s="6">
        <f t="shared" ref="J35:J42" si="19">I35+J34</f>
        <v>56499</v>
      </c>
      <c r="K35" s="6">
        <v>4223</v>
      </c>
      <c r="L35" s="6">
        <f t="shared" ref="L35:L42" si="20">K35+L34</f>
        <v>11469</v>
      </c>
      <c r="M35" s="6">
        <v>7303</v>
      </c>
      <c r="N35" s="6">
        <f t="shared" ref="N35:N42" si="21">M35+N34</f>
        <v>44489</v>
      </c>
      <c r="O35" s="6">
        <v>7510</v>
      </c>
      <c r="P35" s="6">
        <f t="shared" ref="P35:P42" si="22">O35+P34</f>
        <v>17323</v>
      </c>
      <c r="Q35" s="6">
        <v>14443</v>
      </c>
      <c r="R35" s="6">
        <f t="shared" ref="R35:R42" si="23">Q35+R34</f>
        <v>61378</v>
      </c>
      <c r="S35" s="6">
        <v>2725</v>
      </c>
      <c r="T35" s="6">
        <f t="shared" ref="T35:T42" si="24">S35+T34</f>
        <v>10164</v>
      </c>
      <c r="U35" s="6">
        <v>7231</v>
      </c>
      <c r="V35" s="6">
        <f t="shared" ref="V35:V42" si="25">U35+V34</f>
        <v>39246</v>
      </c>
      <c r="W35" s="6">
        <v>6847</v>
      </c>
      <c r="X35" s="6">
        <f t="shared" ref="X35:X42" si="26">W35+X34</f>
        <v>19913</v>
      </c>
      <c r="Y35" s="6">
        <v>20002</v>
      </c>
      <c r="Z35" s="6">
        <f t="shared" ref="Z35:Z42" si="27">Y35+Z34</f>
        <v>74031</v>
      </c>
      <c r="AA35" s="6">
        <v>2975</v>
      </c>
      <c r="AB35" s="6">
        <f t="shared" ref="AB35:AB42" si="28">AA35+AB34</f>
        <v>10867</v>
      </c>
      <c r="AC35" s="6">
        <v>8003</v>
      </c>
      <c r="AD35" s="6">
        <f t="shared" ref="AD35:AD42" si="29">AC35+AD34</f>
        <v>42329</v>
      </c>
      <c r="AE35" s="6">
        <v>7522</v>
      </c>
      <c r="AF35" s="6">
        <f t="shared" ref="AF35:AF42" si="30">AE35+AF34</f>
        <v>21544</v>
      </c>
      <c r="AG35" s="6">
        <v>22430</v>
      </c>
      <c r="AH35" s="6">
        <f t="shared" ref="AH35:AH42" si="31">AG35+AH34</f>
        <v>81688</v>
      </c>
    </row>
    <row r="36" spans="1:34" x14ac:dyDescent="0.25">
      <c r="A36" s="4">
        <v>4</v>
      </c>
      <c r="B36" s="11">
        <v>189</v>
      </c>
      <c r="C36" s="4">
        <v>3947</v>
      </c>
      <c r="D36" s="4">
        <f t="shared" si="16"/>
        <v>14511</v>
      </c>
      <c r="E36" s="4">
        <v>5244</v>
      </c>
      <c r="F36" s="4">
        <f t="shared" si="17"/>
        <v>46827</v>
      </c>
      <c r="G36" s="4">
        <v>8154</v>
      </c>
      <c r="H36" s="4">
        <f t="shared" si="18"/>
        <v>23782</v>
      </c>
      <c r="I36" s="4">
        <v>12346</v>
      </c>
      <c r="J36" s="4">
        <f t="shared" si="19"/>
        <v>68845</v>
      </c>
      <c r="K36" s="4">
        <v>4418</v>
      </c>
      <c r="L36" s="4">
        <f t="shared" si="20"/>
        <v>15887</v>
      </c>
      <c r="M36" s="4">
        <v>5704</v>
      </c>
      <c r="N36" s="4">
        <f t="shared" si="21"/>
        <v>50193</v>
      </c>
      <c r="O36" s="4">
        <v>9396</v>
      </c>
      <c r="P36" s="4">
        <f t="shared" si="22"/>
        <v>26719</v>
      </c>
      <c r="Q36" s="4">
        <v>13706</v>
      </c>
      <c r="R36" s="4">
        <f t="shared" si="23"/>
        <v>75084</v>
      </c>
      <c r="S36" s="4">
        <v>2412</v>
      </c>
      <c r="T36" s="4">
        <f t="shared" si="24"/>
        <v>12576</v>
      </c>
      <c r="U36" s="4">
        <v>6196</v>
      </c>
      <c r="V36" s="4">
        <f t="shared" si="25"/>
        <v>45442</v>
      </c>
      <c r="W36" s="4">
        <v>7635</v>
      </c>
      <c r="X36" s="4">
        <f t="shared" si="26"/>
        <v>27548</v>
      </c>
      <c r="Y36" s="4">
        <v>19222</v>
      </c>
      <c r="Z36" s="4">
        <f t="shared" si="27"/>
        <v>93253</v>
      </c>
      <c r="AA36" s="4">
        <v>2668</v>
      </c>
      <c r="AB36" s="4">
        <f t="shared" si="28"/>
        <v>13535</v>
      </c>
      <c r="AC36" s="4">
        <v>7004</v>
      </c>
      <c r="AD36" s="4">
        <f t="shared" si="29"/>
        <v>49333</v>
      </c>
      <c r="AE36" s="4">
        <v>8590</v>
      </c>
      <c r="AF36" s="4">
        <f t="shared" si="30"/>
        <v>30134</v>
      </c>
      <c r="AG36" s="4">
        <v>22092</v>
      </c>
      <c r="AH36" s="4">
        <f t="shared" si="31"/>
        <v>103780</v>
      </c>
    </row>
    <row r="37" spans="1:34" x14ac:dyDescent="0.25">
      <c r="A37" s="6">
        <v>5</v>
      </c>
      <c r="B37" s="11">
        <v>121</v>
      </c>
      <c r="C37" s="6">
        <v>3635</v>
      </c>
      <c r="D37" s="6">
        <f t="shared" si="16"/>
        <v>18146</v>
      </c>
      <c r="E37" s="6">
        <v>5764</v>
      </c>
      <c r="F37" s="6">
        <f t="shared" si="17"/>
        <v>52591</v>
      </c>
      <c r="G37" s="6">
        <v>8978</v>
      </c>
      <c r="H37" s="6">
        <f t="shared" si="18"/>
        <v>32760</v>
      </c>
      <c r="I37" s="6">
        <v>15046</v>
      </c>
      <c r="J37" s="6">
        <f t="shared" si="19"/>
        <v>83891</v>
      </c>
      <c r="K37" s="6">
        <v>4111</v>
      </c>
      <c r="L37" s="6">
        <f t="shared" si="20"/>
        <v>19998</v>
      </c>
      <c r="M37" s="6">
        <v>6418</v>
      </c>
      <c r="N37" s="6">
        <f t="shared" si="21"/>
        <v>56611</v>
      </c>
      <c r="O37" s="6">
        <v>10401</v>
      </c>
      <c r="P37" s="6">
        <f t="shared" si="22"/>
        <v>37120</v>
      </c>
      <c r="Q37" s="6">
        <v>17138</v>
      </c>
      <c r="R37" s="6">
        <f t="shared" si="23"/>
        <v>92222</v>
      </c>
      <c r="S37" s="6">
        <v>3695</v>
      </c>
      <c r="T37" s="6">
        <f t="shared" si="24"/>
        <v>16271</v>
      </c>
      <c r="U37" s="6">
        <v>3415</v>
      </c>
      <c r="V37" s="6">
        <f t="shared" si="25"/>
        <v>48857</v>
      </c>
      <c r="W37" s="6">
        <v>12746</v>
      </c>
      <c r="X37" s="6">
        <f t="shared" si="26"/>
        <v>40294</v>
      </c>
      <c r="Y37" s="6">
        <v>12475</v>
      </c>
      <c r="Z37" s="6">
        <f t="shared" si="27"/>
        <v>105728</v>
      </c>
      <c r="AA37" s="6">
        <v>4148</v>
      </c>
      <c r="AB37" s="6">
        <f t="shared" si="28"/>
        <v>17683</v>
      </c>
      <c r="AC37" s="6">
        <v>3876</v>
      </c>
      <c r="AD37" s="6">
        <f t="shared" si="29"/>
        <v>53209</v>
      </c>
      <c r="AE37" s="6">
        <v>14612</v>
      </c>
      <c r="AF37" s="6">
        <f t="shared" si="30"/>
        <v>44746</v>
      </c>
      <c r="AG37" s="6">
        <v>14204</v>
      </c>
      <c r="AH37" s="6">
        <f t="shared" si="31"/>
        <v>117984</v>
      </c>
    </row>
    <row r="38" spans="1:34" x14ac:dyDescent="0.25">
      <c r="A38" s="4">
        <v>6</v>
      </c>
      <c r="B38" s="11">
        <v>95</v>
      </c>
      <c r="C38" s="4">
        <v>7437</v>
      </c>
      <c r="D38" s="4">
        <f t="shared" si="16"/>
        <v>25583</v>
      </c>
      <c r="E38" s="4">
        <v>5496</v>
      </c>
      <c r="F38" s="4">
        <f t="shared" si="17"/>
        <v>58087</v>
      </c>
      <c r="G38" s="4">
        <v>19466</v>
      </c>
      <c r="H38" s="4">
        <f t="shared" si="18"/>
        <v>52226</v>
      </c>
      <c r="I38" s="4">
        <v>15837</v>
      </c>
      <c r="J38" s="4">
        <f t="shared" si="19"/>
        <v>99728</v>
      </c>
      <c r="K38" s="4">
        <v>8489</v>
      </c>
      <c r="L38" s="4">
        <f t="shared" si="20"/>
        <v>28487</v>
      </c>
      <c r="M38" s="4">
        <v>6229</v>
      </c>
      <c r="N38" s="4">
        <f t="shared" si="21"/>
        <v>62840</v>
      </c>
      <c r="O38" s="4">
        <v>23032</v>
      </c>
      <c r="P38" s="4">
        <f t="shared" si="22"/>
        <v>60152</v>
      </c>
      <c r="Q38" s="4">
        <v>18251</v>
      </c>
      <c r="R38" s="4">
        <f t="shared" si="23"/>
        <v>110473</v>
      </c>
      <c r="S38" s="4">
        <v>6162</v>
      </c>
      <c r="T38" s="4">
        <f t="shared" si="24"/>
        <v>22433</v>
      </c>
      <c r="U38" s="4">
        <v>3709</v>
      </c>
      <c r="V38" s="4">
        <f t="shared" si="25"/>
        <v>52566</v>
      </c>
      <c r="W38" s="4">
        <v>22372</v>
      </c>
      <c r="X38" s="4">
        <f t="shared" si="26"/>
        <v>62666</v>
      </c>
      <c r="Y38" s="4">
        <v>14242</v>
      </c>
      <c r="Z38" s="4">
        <f t="shared" si="27"/>
        <v>119970</v>
      </c>
      <c r="AA38" s="4">
        <v>7128</v>
      </c>
      <c r="AB38" s="4">
        <f t="shared" si="28"/>
        <v>24811</v>
      </c>
      <c r="AC38" s="4">
        <v>4163</v>
      </c>
      <c r="AD38" s="4">
        <f t="shared" si="29"/>
        <v>57372</v>
      </c>
      <c r="AE38" s="4">
        <v>26471</v>
      </c>
      <c r="AF38" s="4">
        <f t="shared" si="30"/>
        <v>71217</v>
      </c>
      <c r="AG38" s="4">
        <v>15975</v>
      </c>
      <c r="AH38" s="4">
        <f t="shared" si="31"/>
        <v>133959</v>
      </c>
    </row>
    <row r="39" spans="1:34" x14ac:dyDescent="0.25">
      <c r="A39" s="6">
        <v>7</v>
      </c>
      <c r="B39" s="11">
        <v>67</v>
      </c>
      <c r="C39" s="6">
        <v>8732</v>
      </c>
      <c r="D39" s="6">
        <f t="shared" si="16"/>
        <v>34315</v>
      </c>
      <c r="E39" s="6">
        <v>6329</v>
      </c>
      <c r="F39" s="6">
        <f t="shared" si="17"/>
        <v>64416</v>
      </c>
      <c r="G39" s="6">
        <v>27663</v>
      </c>
      <c r="H39" s="6">
        <f t="shared" si="18"/>
        <v>79889</v>
      </c>
      <c r="I39" s="6">
        <v>21168</v>
      </c>
      <c r="J39" s="6">
        <f t="shared" si="19"/>
        <v>120896</v>
      </c>
      <c r="K39" s="6">
        <v>10063</v>
      </c>
      <c r="L39" s="6">
        <f t="shared" si="20"/>
        <v>38550</v>
      </c>
      <c r="M39" s="6">
        <v>7150</v>
      </c>
      <c r="N39" s="6">
        <f t="shared" si="21"/>
        <v>69990</v>
      </c>
      <c r="O39" s="6">
        <v>32553</v>
      </c>
      <c r="P39" s="6">
        <f t="shared" si="22"/>
        <v>92705</v>
      </c>
      <c r="Q39" s="6">
        <v>24089</v>
      </c>
      <c r="R39" s="6">
        <f t="shared" si="23"/>
        <v>134562</v>
      </c>
      <c r="S39" s="6">
        <v>8944</v>
      </c>
      <c r="T39" s="6">
        <f t="shared" si="24"/>
        <v>31377</v>
      </c>
      <c r="U39" s="6">
        <v>7432</v>
      </c>
      <c r="V39" s="6">
        <f t="shared" si="25"/>
        <v>59998</v>
      </c>
      <c r="W39" s="6">
        <v>34721</v>
      </c>
      <c r="X39" s="6">
        <f t="shared" si="26"/>
        <v>97387</v>
      </c>
      <c r="Y39" s="6">
        <v>25811</v>
      </c>
      <c r="Z39" s="6">
        <f t="shared" si="27"/>
        <v>145781</v>
      </c>
      <c r="AA39" s="6">
        <v>10445</v>
      </c>
      <c r="AB39" s="6">
        <f t="shared" si="28"/>
        <v>35256</v>
      </c>
      <c r="AC39" s="6">
        <v>8486</v>
      </c>
      <c r="AD39" s="6">
        <f t="shared" si="29"/>
        <v>65858</v>
      </c>
      <c r="AE39" s="6">
        <v>41128</v>
      </c>
      <c r="AF39" s="6">
        <f t="shared" si="30"/>
        <v>112345</v>
      </c>
      <c r="AG39" s="6">
        <v>29839</v>
      </c>
      <c r="AH39" s="6">
        <f t="shared" si="31"/>
        <v>163798</v>
      </c>
    </row>
    <row r="40" spans="1:34" x14ac:dyDescent="0.25">
      <c r="A40" s="4">
        <v>8</v>
      </c>
      <c r="B40" s="11">
        <v>38</v>
      </c>
      <c r="C40" s="4">
        <v>5687</v>
      </c>
      <c r="D40" s="4">
        <f t="shared" si="16"/>
        <v>40002</v>
      </c>
      <c r="E40" s="4">
        <v>3759</v>
      </c>
      <c r="F40" s="4">
        <f t="shared" si="17"/>
        <v>68175</v>
      </c>
      <c r="G40" s="4">
        <v>19474</v>
      </c>
      <c r="H40" s="4">
        <f t="shared" si="18"/>
        <v>99363</v>
      </c>
      <c r="I40" s="4">
        <v>13183</v>
      </c>
      <c r="J40" s="4">
        <f t="shared" si="19"/>
        <v>134079</v>
      </c>
      <c r="K40" s="4">
        <v>6544</v>
      </c>
      <c r="L40" s="4">
        <f t="shared" si="20"/>
        <v>45094</v>
      </c>
      <c r="M40" s="4">
        <v>4206</v>
      </c>
      <c r="N40" s="4">
        <f t="shared" si="21"/>
        <v>74196</v>
      </c>
      <c r="O40" s="4">
        <v>23244</v>
      </c>
      <c r="P40" s="4">
        <f t="shared" si="22"/>
        <v>115949</v>
      </c>
      <c r="Q40" s="4">
        <v>15184</v>
      </c>
      <c r="R40" s="4">
        <f t="shared" si="23"/>
        <v>149746</v>
      </c>
      <c r="S40" s="4">
        <v>13316</v>
      </c>
      <c r="T40" s="4">
        <f t="shared" si="24"/>
        <v>44693</v>
      </c>
      <c r="U40" s="4">
        <v>8156</v>
      </c>
      <c r="V40" s="4">
        <f t="shared" si="25"/>
        <v>68154</v>
      </c>
      <c r="W40" s="4">
        <v>40818</v>
      </c>
      <c r="X40" s="4">
        <f t="shared" si="26"/>
        <v>138205</v>
      </c>
      <c r="Y40" s="4">
        <v>22037</v>
      </c>
      <c r="Z40" s="4">
        <f t="shared" si="27"/>
        <v>167818</v>
      </c>
      <c r="AA40" s="4">
        <v>15381</v>
      </c>
      <c r="AB40" s="4">
        <f t="shared" si="28"/>
        <v>50637</v>
      </c>
      <c r="AC40" s="4">
        <v>9259</v>
      </c>
      <c r="AD40" s="4">
        <f t="shared" si="29"/>
        <v>75117</v>
      </c>
      <c r="AE40" s="4">
        <v>49350</v>
      </c>
      <c r="AF40" s="4">
        <f t="shared" si="30"/>
        <v>161695</v>
      </c>
      <c r="AG40" s="4">
        <v>26008</v>
      </c>
      <c r="AH40" s="4">
        <f t="shared" si="31"/>
        <v>189806</v>
      </c>
    </row>
    <row r="41" spans="1:34" x14ac:dyDescent="0.25">
      <c r="A41" s="6">
        <v>9</v>
      </c>
      <c r="B41" s="11">
        <v>14</v>
      </c>
      <c r="C41" s="6">
        <v>3713</v>
      </c>
      <c r="D41" s="6">
        <f t="shared" si="16"/>
        <v>43715</v>
      </c>
      <c r="E41" s="6">
        <v>2169</v>
      </c>
      <c r="F41" s="6">
        <f t="shared" si="17"/>
        <v>70344</v>
      </c>
      <c r="G41" s="6">
        <v>17380</v>
      </c>
      <c r="H41" s="6">
        <f t="shared" si="18"/>
        <v>116743</v>
      </c>
      <c r="I41" s="6">
        <v>10491</v>
      </c>
      <c r="J41" s="6">
        <f t="shared" si="19"/>
        <v>144570</v>
      </c>
      <c r="K41" s="6">
        <v>4256</v>
      </c>
      <c r="L41" s="6">
        <f t="shared" si="20"/>
        <v>49350</v>
      </c>
      <c r="M41" s="6">
        <v>2466</v>
      </c>
      <c r="N41" s="6">
        <f t="shared" si="21"/>
        <v>76662</v>
      </c>
      <c r="O41" s="6">
        <v>20509</v>
      </c>
      <c r="P41" s="6">
        <f t="shared" si="22"/>
        <v>136458</v>
      </c>
      <c r="Q41" s="6">
        <v>12014</v>
      </c>
      <c r="R41" s="6">
        <f t="shared" si="23"/>
        <v>161760</v>
      </c>
      <c r="S41" s="6">
        <v>25396</v>
      </c>
      <c r="T41" s="6">
        <f t="shared" si="24"/>
        <v>70089</v>
      </c>
      <c r="U41" s="6">
        <v>9069</v>
      </c>
      <c r="V41" s="6">
        <f t="shared" si="25"/>
        <v>77223</v>
      </c>
      <c r="W41" s="6">
        <v>87012</v>
      </c>
      <c r="X41" s="6">
        <f t="shared" si="26"/>
        <v>225217</v>
      </c>
      <c r="Y41" s="6">
        <v>24524</v>
      </c>
      <c r="Z41" s="6">
        <f t="shared" si="27"/>
        <v>192342</v>
      </c>
      <c r="AA41" s="6">
        <v>29117</v>
      </c>
      <c r="AB41" s="6">
        <f t="shared" si="28"/>
        <v>79754</v>
      </c>
      <c r="AC41" s="6">
        <v>10303</v>
      </c>
      <c r="AD41" s="6">
        <f t="shared" si="29"/>
        <v>85420</v>
      </c>
      <c r="AE41" s="6">
        <v>103046</v>
      </c>
      <c r="AF41" s="6">
        <f t="shared" si="30"/>
        <v>264741</v>
      </c>
      <c r="AG41" s="6">
        <v>28831</v>
      </c>
      <c r="AH41" s="6">
        <f t="shared" si="31"/>
        <v>218637</v>
      </c>
    </row>
    <row r="42" spans="1:34" x14ac:dyDescent="0.25">
      <c r="A42" s="4">
        <v>10</v>
      </c>
      <c r="B42" s="11">
        <v>7</v>
      </c>
      <c r="C42" s="4">
        <v>2199</v>
      </c>
      <c r="D42" s="4">
        <f t="shared" si="16"/>
        <v>45914</v>
      </c>
      <c r="E42" s="4">
        <v>1478</v>
      </c>
      <c r="F42" s="4">
        <f t="shared" si="17"/>
        <v>71822</v>
      </c>
      <c r="G42" s="4">
        <v>17002</v>
      </c>
      <c r="H42" s="4">
        <f t="shared" si="18"/>
        <v>133745</v>
      </c>
      <c r="I42" s="4">
        <v>7982</v>
      </c>
      <c r="J42" s="4">
        <f t="shared" si="19"/>
        <v>152552</v>
      </c>
      <c r="K42" s="4">
        <v>2547</v>
      </c>
      <c r="L42" s="4">
        <f t="shared" si="20"/>
        <v>51897</v>
      </c>
      <c r="M42" s="4">
        <v>1620</v>
      </c>
      <c r="N42" s="4">
        <f t="shared" si="21"/>
        <v>78282</v>
      </c>
      <c r="O42" s="4">
        <v>19893</v>
      </c>
      <c r="P42" s="4">
        <f t="shared" si="22"/>
        <v>156351</v>
      </c>
      <c r="Q42" s="4">
        <v>9002</v>
      </c>
      <c r="R42" s="4">
        <f t="shared" si="23"/>
        <v>170762</v>
      </c>
      <c r="S42" s="4">
        <v>39301</v>
      </c>
      <c r="T42" s="4">
        <f t="shared" si="24"/>
        <v>109390</v>
      </c>
      <c r="U42" s="4">
        <v>8236</v>
      </c>
      <c r="V42" s="4">
        <f t="shared" si="25"/>
        <v>85459</v>
      </c>
      <c r="W42" s="4">
        <v>96019</v>
      </c>
      <c r="X42" s="4">
        <f t="shared" si="26"/>
        <v>321236</v>
      </c>
      <c r="Y42" s="4">
        <v>18021</v>
      </c>
      <c r="Z42" s="4">
        <f t="shared" si="27"/>
        <v>210363</v>
      </c>
      <c r="AA42" s="4">
        <v>44801</v>
      </c>
      <c r="AB42" s="4">
        <f t="shared" si="28"/>
        <v>124555</v>
      </c>
      <c r="AC42" s="4">
        <v>9161</v>
      </c>
      <c r="AD42" s="4">
        <f t="shared" si="29"/>
        <v>94581</v>
      </c>
      <c r="AE42" s="4">
        <v>113724</v>
      </c>
      <c r="AF42" s="4">
        <f t="shared" si="30"/>
        <v>378465</v>
      </c>
      <c r="AG42" s="4">
        <v>20854</v>
      </c>
      <c r="AH42" s="4">
        <f t="shared" si="31"/>
        <v>239491</v>
      </c>
    </row>
    <row r="43" spans="1:34" x14ac:dyDescent="0.25">
      <c r="A43" s="5" t="s">
        <v>7</v>
      </c>
      <c r="B43" s="5"/>
      <c r="C43" s="5">
        <f>SUM(C33:C42)</f>
        <v>45914</v>
      </c>
      <c r="D43" s="5"/>
      <c r="E43" s="5">
        <f>SUM(E33:E42)</f>
        <v>71822</v>
      </c>
      <c r="F43" s="5"/>
      <c r="G43" s="5">
        <f>SUM(G33:G42)</f>
        <v>133745</v>
      </c>
      <c r="H43" s="5"/>
      <c r="I43" s="5">
        <f>SUM(I33:I42)</f>
        <v>152552</v>
      </c>
      <c r="J43" s="5"/>
      <c r="K43" s="5">
        <f>SUM(K33:K42)</f>
        <v>51897</v>
      </c>
      <c r="L43" s="5"/>
      <c r="M43" s="5">
        <f>SUM(M33:M42)</f>
        <v>78282</v>
      </c>
      <c r="N43" s="5"/>
      <c r="O43" s="5">
        <f>SUM(O33:O42)</f>
        <v>156351</v>
      </c>
      <c r="P43" s="5"/>
      <c r="Q43" s="5">
        <f>SUM(Q33:Q42)</f>
        <v>170762</v>
      </c>
      <c r="R43" s="5"/>
      <c r="S43" s="5">
        <f>SUM(S33:S42)</f>
        <v>109390</v>
      </c>
      <c r="T43" s="5"/>
      <c r="U43" s="5">
        <f>SUM(U33:U42)</f>
        <v>85459</v>
      </c>
      <c r="V43" s="5"/>
      <c r="W43" s="5">
        <f>SUM(W33:W42)</f>
        <v>321236</v>
      </c>
      <c r="X43" s="5"/>
      <c r="Y43" s="5">
        <f>SUM(Y33:Y42)</f>
        <v>210363</v>
      </c>
      <c r="Z43" s="5"/>
      <c r="AA43" s="5">
        <f>SUM(AA33:AA42)</f>
        <v>124555</v>
      </c>
      <c r="AB43" s="5"/>
      <c r="AC43" s="5">
        <f>SUM(AC33:AC42)</f>
        <v>94581</v>
      </c>
      <c r="AD43" s="5"/>
      <c r="AE43" s="5">
        <f>SUM(AE33:AE42)</f>
        <v>378465</v>
      </c>
      <c r="AF43" s="5"/>
      <c r="AG43" s="5">
        <f>SUM(AG33:AG42)</f>
        <v>239491</v>
      </c>
      <c r="AH43" s="5"/>
    </row>
    <row r="46" spans="1:34" x14ac:dyDescent="0.25">
      <c r="A46" t="s">
        <v>16</v>
      </c>
    </row>
    <row r="48" spans="1:34" x14ac:dyDescent="0.25">
      <c r="A48" t="s">
        <v>8</v>
      </c>
    </row>
    <row r="50" spans="1:34" x14ac:dyDescent="0.25">
      <c r="A50" s="3"/>
      <c r="B50" s="3"/>
      <c r="C50" s="7" t="s">
        <v>12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9"/>
      <c r="S50" s="7" t="s">
        <v>14</v>
      </c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9"/>
    </row>
    <row r="51" spans="1:34" x14ac:dyDescent="0.25">
      <c r="A51" s="3"/>
      <c r="B51" s="3"/>
      <c r="C51" s="7" t="s">
        <v>1</v>
      </c>
      <c r="D51" s="8"/>
      <c r="E51" s="8"/>
      <c r="F51" s="9"/>
      <c r="G51" s="7" t="s">
        <v>0</v>
      </c>
      <c r="H51" s="8"/>
      <c r="I51" s="8"/>
      <c r="J51" s="9"/>
      <c r="K51" s="7" t="s">
        <v>2</v>
      </c>
      <c r="L51" s="8"/>
      <c r="M51" s="8"/>
      <c r="N51" s="9"/>
      <c r="O51" s="7" t="s">
        <v>3</v>
      </c>
      <c r="P51" s="8"/>
      <c r="Q51" s="8"/>
      <c r="R51" s="9"/>
      <c r="S51" s="7" t="s">
        <v>1</v>
      </c>
      <c r="T51" s="8"/>
      <c r="U51" s="8"/>
      <c r="V51" s="9"/>
      <c r="W51" s="7" t="s">
        <v>0</v>
      </c>
      <c r="X51" s="8"/>
      <c r="Y51" s="8"/>
      <c r="Z51" s="9"/>
      <c r="AA51" s="7" t="s">
        <v>2</v>
      </c>
      <c r="AB51" s="8"/>
      <c r="AC51" s="8"/>
      <c r="AD51" s="9"/>
      <c r="AE51" s="7" t="s">
        <v>3</v>
      </c>
      <c r="AF51" s="8"/>
      <c r="AG51" s="8"/>
      <c r="AH51" s="9"/>
    </row>
    <row r="52" spans="1:34" x14ac:dyDescent="0.25">
      <c r="A52" s="3" t="s">
        <v>6</v>
      </c>
      <c r="B52" s="3" t="s">
        <v>20</v>
      </c>
      <c r="C52" s="3" t="s">
        <v>18</v>
      </c>
      <c r="D52" s="3" t="s">
        <v>19</v>
      </c>
      <c r="E52" s="3" t="s">
        <v>15</v>
      </c>
      <c r="F52" s="3" t="s">
        <v>19</v>
      </c>
      <c r="G52" s="3" t="s">
        <v>18</v>
      </c>
      <c r="H52" s="3" t="s">
        <v>19</v>
      </c>
      <c r="I52" s="3" t="s">
        <v>15</v>
      </c>
      <c r="J52" s="3" t="s">
        <v>19</v>
      </c>
      <c r="K52" s="3" t="s">
        <v>18</v>
      </c>
      <c r="L52" s="3" t="s">
        <v>19</v>
      </c>
      <c r="M52" s="3" t="s">
        <v>15</v>
      </c>
      <c r="N52" s="3" t="s">
        <v>19</v>
      </c>
      <c r="O52" s="3" t="s">
        <v>18</v>
      </c>
      <c r="P52" s="3" t="s">
        <v>19</v>
      </c>
      <c r="Q52" s="3" t="s">
        <v>15</v>
      </c>
      <c r="R52" s="3" t="s">
        <v>19</v>
      </c>
      <c r="S52" s="3" t="s">
        <v>18</v>
      </c>
      <c r="T52" s="3" t="s">
        <v>19</v>
      </c>
      <c r="U52" s="3" t="s">
        <v>15</v>
      </c>
      <c r="V52" s="3" t="s">
        <v>19</v>
      </c>
      <c r="W52" s="3" t="s">
        <v>18</v>
      </c>
      <c r="X52" s="3" t="s">
        <v>19</v>
      </c>
      <c r="Y52" s="3" t="s">
        <v>15</v>
      </c>
      <c r="Z52" s="3" t="s">
        <v>19</v>
      </c>
      <c r="AA52" s="3" t="s">
        <v>18</v>
      </c>
      <c r="AB52" s="3" t="s">
        <v>19</v>
      </c>
      <c r="AC52" s="3" t="s">
        <v>15</v>
      </c>
      <c r="AD52" s="3" t="s">
        <v>19</v>
      </c>
      <c r="AE52" s="3" t="s">
        <v>18</v>
      </c>
      <c r="AF52" s="3" t="s">
        <v>19</v>
      </c>
      <c r="AG52" s="3" t="s">
        <v>15</v>
      </c>
      <c r="AH52" s="3" t="s">
        <v>19</v>
      </c>
    </row>
    <row r="53" spans="1:34" x14ac:dyDescent="0.25">
      <c r="A53" s="6">
        <v>1</v>
      </c>
      <c r="B53" s="10">
        <v>653</v>
      </c>
      <c r="C53" s="6">
        <v>7258</v>
      </c>
      <c r="D53" s="6">
        <f>C53</f>
        <v>7258</v>
      </c>
      <c r="E53" s="6">
        <v>28000</v>
      </c>
      <c r="F53" s="6">
        <f>E53</f>
        <v>28000</v>
      </c>
      <c r="G53" s="6">
        <v>8722</v>
      </c>
      <c r="H53" s="6">
        <f>G53</f>
        <v>8722</v>
      </c>
      <c r="I53" s="6">
        <v>32792</v>
      </c>
      <c r="J53" s="6">
        <f>I53</f>
        <v>32792</v>
      </c>
      <c r="K53" s="6">
        <v>7705</v>
      </c>
      <c r="L53" s="6">
        <f>K53</f>
        <v>7705</v>
      </c>
      <c r="M53" s="6">
        <v>29985</v>
      </c>
      <c r="N53" s="6">
        <f>M53</f>
        <v>29985</v>
      </c>
      <c r="O53" s="6">
        <v>9423</v>
      </c>
      <c r="P53" s="6">
        <f>O53</f>
        <v>9423</v>
      </c>
      <c r="Q53" s="6">
        <v>35560</v>
      </c>
      <c r="R53" s="6">
        <f>Q53</f>
        <v>35560</v>
      </c>
      <c r="S53" s="6">
        <v>4543</v>
      </c>
      <c r="T53" s="6">
        <f>S53</f>
        <v>4543</v>
      </c>
      <c r="U53" s="6">
        <v>21264</v>
      </c>
      <c r="V53" s="6">
        <f>U53</f>
        <v>21264</v>
      </c>
      <c r="W53" s="6">
        <v>6645</v>
      </c>
      <c r="X53" s="6">
        <f>W53</f>
        <v>6645</v>
      </c>
      <c r="Y53" s="6">
        <v>30064</v>
      </c>
      <c r="Z53" s="6">
        <f>Y53</f>
        <v>30064</v>
      </c>
      <c r="AA53" s="6">
        <v>4829</v>
      </c>
      <c r="AB53" s="6">
        <f>AA53</f>
        <v>4829</v>
      </c>
      <c r="AC53" s="6">
        <v>22822</v>
      </c>
      <c r="AD53" s="6">
        <f>AC53</f>
        <v>22822</v>
      </c>
      <c r="AE53" s="6">
        <v>7167</v>
      </c>
      <c r="AF53" s="6">
        <f>AE53</f>
        <v>7167</v>
      </c>
      <c r="AG53" s="6">
        <v>33027</v>
      </c>
      <c r="AH53" s="6">
        <f>AG53</f>
        <v>33027</v>
      </c>
    </row>
    <row r="54" spans="1:34" x14ac:dyDescent="0.25">
      <c r="A54" s="4">
        <v>2</v>
      </c>
      <c r="B54" s="11">
        <v>446</v>
      </c>
      <c r="C54" s="4">
        <v>7161</v>
      </c>
      <c r="D54" s="4">
        <f>C54+D53</f>
        <v>14419</v>
      </c>
      <c r="E54" s="4">
        <v>15813</v>
      </c>
      <c r="F54" s="4">
        <f>E54+F53</f>
        <v>43813</v>
      </c>
      <c r="G54" s="4">
        <v>10309</v>
      </c>
      <c r="H54" s="4">
        <f>G54+H53</f>
        <v>19031</v>
      </c>
      <c r="I54" s="4">
        <v>22666</v>
      </c>
      <c r="J54" s="4">
        <f>I54+J53</f>
        <v>55458</v>
      </c>
      <c r="K54" s="4">
        <v>7766</v>
      </c>
      <c r="L54" s="4">
        <f>K54+L53</f>
        <v>15471</v>
      </c>
      <c r="M54" s="4">
        <v>17283</v>
      </c>
      <c r="N54" s="4">
        <f>M54+N53</f>
        <v>47268</v>
      </c>
      <c r="O54" s="4">
        <v>11454</v>
      </c>
      <c r="P54" s="4">
        <f>O54+P53</f>
        <v>20877</v>
      </c>
      <c r="Q54" s="4">
        <v>25318</v>
      </c>
      <c r="R54" s="4">
        <f>Q54+R53</f>
        <v>60878</v>
      </c>
      <c r="S54" s="4">
        <v>5148</v>
      </c>
      <c r="T54" s="4">
        <f>S54+T53</f>
        <v>9691</v>
      </c>
      <c r="U54" s="4">
        <v>12557</v>
      </c>
      <c r="V54" s="4">
        <f>U54+V53</f>
        <v>33821</v>
      </c>
      <c r="W54" s="4">
        <v>10753</v>
      </c>
      <c r="X54" s="4">
        <f>W54+X53</f>
        <v>17398</v>
      </c>
      <c r="Y54" s="4">
        <v>27117</v>
      </c>
      <c r="Z54" s="4">
        <f>Y54+Z53</f>
        <v>57181</v>
      </c>
      <c r="AA54" s="4">
        <v>5590</v>
      </c>
      <c r="AB54" s="4">
        <f>AA54+AB53</f>
        <v>10419</v>
      </c>
      <c r="AC54" s="4">
        <v>13727</v>
      </c>
      <c r="AD54" s="4">
        <f>AC54+AD53</f>
        <v>36549</v>
      </c>
      <c r="AE54" s="4">
        <v>11861</v>
      </c>
      <c r="AF54" s="4">
        <f>AE54+AF53</f>
        <v>19028</v>
      </c>
      <c r="AG54" s="4">
        <v>30344</v>
      </c>
      <c r="AH54" s="4">
        <f>AG54+AH53</f>
        <v>63371</v>
      </c>
    </row>
    <row r="55" spans="1:34" x14ac:dyDescent="0.25">
      <c r="A55" s="6">
        <v>3</v>
      </c>
      <c r="B55" s="11">
        <v>315</v>
      </c>
      <c r="C55" s="6">
        <v>8114</v>
      </c>
      <c r="D55" s="6">
        <f t="shared" ref="D55:D62" si="32">C55+D54</f>
        <v>22533</v>
      </c>
      <c r="E55" s="6">
        <v>12343</v>
      </c>
      <c r="F55" s="6">
        <f t="shared" ref="F55:F62" si="33">E55+F54</f>
        <v>56156</v>
      </c>
      <c r="G55" s="6">
        <v>14092</v>
      </c>
      <c r="H55" s="6">
        <f t="shared" ref="H55:H62" si="34">G55+H54</f>
        <v>33123</v>
      </c>
      <c r="I55" s="6">
        <v>21752</v>
      </c>
      <c r="J55" s="6">
        <f t="shared" ref="J55:J62" si="35">I55+J54</f>
        <v>77210</v>
      </c>
      <c r="K55" s="6">
        <v>9013</v>
      </c>
      <c r="L55" s="6">
        <f t="shared" ref="L55:L62" si="36">K55+L54</f>
        <v>24484</v>
      </c>
      <c r="M55" s="6">
        <v>13620</v>
      </c>
      <c r="N55" s="6">
        <f t="shared" ref="N55:N62" si="37">M55+N54</f>
        <v>60888</v>
      </c>
      <c r="O55" s="6">
        <v>16003</v>
      </c>
      <c r="P55" s="6">
        <f t="shared" ref="P55:P62" si="38">O55+P54</f>
        <v>36880</v>
      </c>
      <c r="Q55" s="6">
        <v>24582</v>
      </c>
      <c r="R55" s="6">
        <f t="shared" ref="R55:R62" si="39">Q55+R54</f>
        <v>85460</v>
      </c>
      <c r="S55" s="6">
        <v>5849</v>
      </c>
      <c r="T55" s="6">
        <f t="shared" ref="T55:T62" si="40">S55+T54</f>
        <v>15540</v>
      </c>
      <c r="U55" s="6">
        <v>9973</v>
      </c>
      <c r="V55" s="6">
        <f t="shared" ref="V55:V62" si="41">U55+V54</f>
        <v>43794</v>
      </c>
      <c r="W55" s="6">
        <v>14142</v>
      </c>
      <c r="X55" s="6">
        <f t="shared" ref="X55:X62" si="42">W55+X54</f>
        <v>31540</v>
      </c>
      <c r="Y55" s="6">
        <v>24747</v>
      </c>
      <c r="Z55" s="6">
        <f t="shared" ref="Z55:Z62" si="43">Y55+Z54</f>
        <v>81928</v>
      </c>
      <c r="AA55" s="6">
        <v>6468</v>
      </c>
      <c r="AB55" s="6">
        <f t="shared" ref="AB55:AB62" si="44">AA55+AB54</f>
        <v>16887</v>
      </c>
      <c r="AC55" s="6">
        <v>11064</v>
      </c>
      <c r="AD55" s="6">
        <f t="shared" ref="AD55:AD62" si="45">AC55+AD54</f>
        <v>47613</v>
      </c>
      <c r="AE55" s="6">
        <v>15988</v>
      </c>
      <c r="AF55" s="6">
        <f t="shared" ref="AF55:AF62" si="46">AE55+AF54</f>
        <v>35016</v>
      </c>
      <c r="AG55" s="6">
        <v>27972</v>
      </c>
      <c r="AH55" s="6">
        <f t="shared" ref="AH55:AH62" si="47">AG55+AH54</f>
        <v>91343</v>
      </c>
    </row>
    <row r="56" spans="1:34" x14ac:dyDescent="0.25">
      <c r="A56" s="4">
        <v>4</v>
      </c>
      <c r="B56" s="11">
        <v>189</v>
      </c>
      <c r="C56" s="4">
        <v>8185</v>
      </c>
      <c r="D56" s="4">
        <f t="shared" si="32"/>
        <v>30718</v>
      </c>
      <c r="E56" s="4">
        <v>8493</v>
      </c>
      <c r="F56" s="4">
        <f t="shared" si="33"/>
        <v>64649</v>
      </c>
      <c r="G56" s="4">
        <v>16912</v>
      </c>
      <c r="H56" s="4">
        <f t="shared" si="34"/>
        <v>50035</v>
      </c>
      <c r="I56" s="4">
        <v>18269</v>
      </c>
      <c r="J56" s="4">
        <f t="shared" si="35"/>
        <v>95479</v>
      </c>
      <c r="K56" s="4">
        <v>9171</v>
      </c>
      <c r="L56" s="4">
        <f t="shared" si="36"/>
        <v>33655</v>
      </c>
      <c r="M56" s="4">
        <v>9428</v>
      </c>
      <c r="N56" s="4">
        <f t="shared" si="37"/>
        <v>70316</v>
      </c>
      <c r="O56" s="4">
        <v>19563</v>
      </c>
      <c r="P56" s="4">
        <f t="shared" si="38"/>
        <v>56443</v>
      </c>
      <c r="Q56" s="4">
        <v>20869</v>
      </c>
      <c r="R56" s="4">
        <f t="shared" si="39"/>
        <v>106329</v>
      </c>
      <c r="S56" s="4">
        <v>6111</v>
      </c>
      <c r="T56" s="4">
        <f t="shared" si="40"/>
        <v>21651</v>
      </c>
      <c r="U56" s="4">
        <v>7522</v>
      </c>
      <c r="V56" s="4">
        <f t="shared" si="41"/>
        <v>51316</v>
      </c>
      <c r="W56" s="4">
        <v>17330</v>
      </c>
      <c r="X56" s="4">
        <f t="shared" si="42"/>
        <v>48870</v>
      </c>
      <c r="Y56" s="4">
        <v>21550</v>
      </c>
      <c r="Z56" s="4">
        <f t="shared" si="43"/>
        <v>103478</v>
      </c>
      <c r="AA56" s="4">
        <v>6892</v>
      </c>
      <c r="AB56" s="4">
        <f t="shared" si="44"/>
        <v>23779</v>
      </c>
      <c r="AC56" s="4">
        <v>8429</v>
      </c>
      <c r="AD56" s="4">
        <f t="shared" si="45"/>
        <v>56042</v>
      </c>
      <c r="AE56" s="4">
        <v>20060</v>
      </c>
      <c r="AF56" s="4">
        <f t="shared" si="46"/>
        <v>55076</v>
      </c>
      <c r="AG56" s="4">
        <v>24696</v>
      </c>
      <c r="AH56" s="4">
        <f t="shared" si="47"/>
        <v>116039</v>
      </c>
    </row>
    <row r="57" spans="1:34" x14ac:dyDescent="0.25">
      <c r="A57" s="6">
        <v>5</v>
      </c>
      <c r="B57" s="11">
        <v>121</v>
      </c>
      <c r="C57" s="6">
        <v>9346</v>
      </c>
      <c r="D57" s="6">
        <f t="shared" si="32"/>
        <v>40064</v>
      </c>
      <c r="E57" s="6">
        <v>7030</v>
      </c>
      <c r="F57" s="6">
        <f t="shared" si="33"/>
        <v>71679</v>
      </c>
      <c r="G57" s="6">
        <v>22345</v>
      </c>
      <c r="H57" s="6">
        <f t="shared" si="34"/>
        <v>72380</v>
      </c>
      <c r="I57" s="6">
        <v>17146</v>
      </c>
      <c r="J57" s="6">
        <f t="shared" si="35"/>
        <v>112625</v>
      </c>
      <c r="K57" s="6">
        <v>10658</v>
      </c>
      <c r="L57" s="6">
        <f t="shared" si="36"/>
        <v>44313</v>
      </c>
      <c r="M57" s="6">
        <v>7812</v>
      </c>
      <c r="N57" s="6">
        <f t="shared" si="37"/>
        <v>78128</v>
      </c>
      <c r="O57" s="6">
        <v>26240</v>
      </c>
      <c r="P57" s="6">
        <f t="shared" si="38"/>
        <v>82683</v>
      </c>
      <c r="Q57" s="6">
        <v>19617</v>
      </c>
      <c r="R57" s="6">
        <f t="shared" si="39"/>
        <v>125946</v>
      </c>
      <c r="S57" s="6">
        <v>7139</v>
      </c>
      <c r="T57" s="6">
        <f t="shared" si="40"/>
        <v>28790</v>
      </c>
      <c r="U57" s="6">
        <v>6661</v>
      </c>
      <c r="V57" s="6">
        <f t="shared" si="41"/>
        <v>57977</v>
      </c>
      <c r="W57" s="6">
        <v>23449</v>
      </c>
      <c r="X57" s="6">
        <f t="shared" si="42"/>
        <v>72319</v>
      </c>
      <c r="Y57" s="6">
        <v>20372</v>
      </c>
      <c r="Z57" s="6">
        <f t="shared" si="43"/>
        <v>123850</v>
      </c>
      <c r="AA57" s="6">
        <v>8182</v>
      </c>
      <c r="AB57" s="6">
        <f t="shared" si="44"/>
        <v>31961</v>
      </c>
      <c r="AC57" s="6">
        <v>7496</v>
      </c>
      <c r="AD57" s="6">
        <f t="shared" si="45"/>
        <v>63538</v>
      </c>
      <c r="AE57" s="6">
        <v>27674</v>
      </c>
      <c r="AF57" s="6">
        <f t="shared" si="46"/>
        <v>82750</v>
      </c>
      <c r="AG57" s="6">
        <v>23618</v>
      </c>
      <c r="AH57" s="6">
        <f t="shared" si="47"/>
        <v>139657</v>
      </c>
    </row>
    <row r="58" spans="1:34" x14ac:dyDescent="0.25">
      <c r="A58" s="4">
        <v>6</v>
      </c>
      <c r="B58" s="11">
        <v>95</v>
      </c>
      <c r="C58" s="4">
        <v>10842</v>
      </c>
      <c r="D58" s="4">
        <f t="shared" si="32"/>
        <v>50906</v>
      </c>
      <c r="E58" s="4">
        <v>5798</v>
      </c>
      <c r="F58" s="4">
        <f t="shared" si="33"/>
        <v>77477</v>
      </c>
      <c r="G58" s="4">
        <v>28899</v>
      </c>
      <c r="H58" s="4">
        <f t="shared" si="34"/>
        <v>101279</v>
      </c>
      <c r="I58" s="4">
        <v>15611</v>
      </c>
      <c r="J58" s="4">
        <f t="shared" si="35"/>
        <v>128236</v>
      </c>
      <c r="K58" s="4">
        <v>12459</v>
      </c>
      <c r="L58" s="4">
        <f t="shared" si="36"/>
        <v>56772</v>
      </c>
      <c r="M58" s="4">
        <v>6543</v>
      </c>
      <c r="N58" s="4">
        <f t="shared" si="37"/>
        <v>84671</v>
      </c>
      <c r="O58" s="4">
        <v>34397</v>
      </c>
      <c r="P58" s="4">
        <f t="shared" si="38"/>
        <v>117080</v>
      </c>
      <c r="Q58" s="4">
        <v>17955</v>
      </c>
      <c r="R58" s="4">
        <f t="shared" si="39"/>
        <v>143901</v>
      </c>
      <c r="S58" s="4">
        <v>9270</v>
      </c>
      <c r="T58" s="4">
        <f t="shared" si="40"/>
        <v>38060</v>
      </c>
      <c r="U58" s="4">
        <v>6918</v>
      </c>
      <c r="V58" s="4">
        <f t="shared" si="41"/>
        <v>64895</v>
      </c>
      <c r="W58" s="4">
        <v>33520</v>
      </c>
      <c r="X58" s="4">
        <f t="shared" si="42"/>
        <v>105839</v>
      </c>
      <c r="Y58" s="4">
        <v>21994</v>
      </c>
      <c r="Z58" s="4">
        <f t="shared" si="43"/>
        <v>145844</v>
      </c>
      <c r="AA58" s="4">
        <v>10736</v>
      </c>
      <c r="AB58" s="4">
        <f t="shared" si="44"/>
        <v>42697</v>
      </c>
      <c r="AC58" s="4">
        <v>7783</v>
      </c>
      <c r="AD58" s="4">
        <f t="shared" si="45"/>
        <v>71321</v>
      </c>
      <c r="AE58" s="4">
        <v>39707</v>
      </c>
      <c r="AF58" s="4">
        <f t="shared" si="46"/>
        <v>122457</v>
      </c>
      <c r="AG58" s="4">
        <v>25259</v>
      </c>
      <c r="AH58" s="4">
        <f t="shared" si="47"/>
        <v>164916</v>
      </c>
    </row>
    <row r="59" spans="1:34" x14ac:dyDescent="0.25">
      <c r="A59" s="6">
        <v>7</v>
      </c>
      <c r="B59" s="11">
        <v>67</v>
      </c>
      <c r="C59" s="6">
        <v>12350</v>
      </c>
      <c r="D59" s="6">
        <f t="shared" si="32"/>
        <v>63256</v>
      </c>
      <c r="E59" s="6">
        <v>4796</v>
      </c>
      <c r="F59" s="6">
        <f t="shared" si="33"/>
        <v>82273</v>
      </c>
      <c r="G59" s="6">
        <v>42063</v>
      </c>
      <c r="H59" s="6">
        <f t="shared" si="34"/>
        <v>143342</v>
      </c>
      <c r="I59" s="6">
        <v>14492</v>
      </c>
      <c r="J59" s="6">
        <f t="shared" si="35"/>
        <v>142728</v>
      </c>
      <c r="K59" s="6">
        <v>14403</v>
      </c>
      <c r="L59" s="6">
        <f t="shared" si="36"/>
        <v>71175</v>
      </c>
      <c r="M59" s="6">
        <v>5379</v>
      </c>
      <c r="N59" s="6">
        <f t="shared" si="37"/>
        <v>90050</v>
      </c>
      <c r="O59" s="6">
        <v>49508</v>
      </c>
      <c r="P59" s="6">
        <f t="shared" si="38"/>
        <v>166588</v>
      </c>
      <c r="Q59" s="6">
        <v>16616</v>
      </c>
      <c r="R59" s="6">
        <f t="shared" si="39"/>
        <v>160517</v>
      </c>
      <c r="S59" s="6">
        <v>11917</v>
      </c>
      <c r="T59" s="6">
        <f t="shared" si="40"/>
        <v>49977</v>
      </c>
      <c r="U59" s="6">
        <v>6278</v>
      </c>
      <c r="V59" s="6">
        <f t="shared" si="41"/>
        <v>71173</v>
      </c>
      <c r="W59" s="6">
        <v>47771</v>
      </c>
      <c r="X59" s="6">
        <f t="shared" si="42"/>
        <v>153610</v>
      </c>
      <c r="Y59" s="6">
        <v>21009</v>
      </c>
      <c r="Z59" s="6">
        <f t="shared" si="43"/>
        <v>166853</v>
      </c>
      <c r="AA59" s="6">
        <v>14018</v>
      </c>
      <c r="AB59" s="6">
        <f t="shared" si="44"/>
        <v>56715</v>
      </c>
      <c r="AC59" s="6">
        <v>7135</v>
      </c>
      <c r="AD59" s="6">
        <f t="shared" si="45"/>
        <v>78456</v>
      </c>
      <c r="AE59" s="6">
        <v>56878</v>
      </c>
      <c r="AF59" s="6">
        <f t="shared" si="46"/>
        <v>179335</v>
      </c>
      <c r="AG59" s="6">
        <v>24330</v>
      </c>
      <c r="AH59" s="6">
        <f t="shared" si="47"/>
        <v>189246</v>
      </c>
    </row>
    <row r="60" spans="1:34" x14ac:dyDescent="0.25">
      <c r="A60" s="4">
        <v>8</v>
      </c>
      <c r="B60" s="11">
        <v>38</v>
      </c>
      <c r="C60" s="4">
        <v>8049</v>
      </c>
      <c r="D60" s="4">
        <f t="shared" si="32"/>
        <v>71305</v>
      </c>
      <c r="E60" s="4">
        <v>3265</v>
      </c>
      <c r="F60" s="4">
        <f t="shared" si="33"/>
        <v>85538</v>
      </c>
      <c r="G60" s="4">
        <v>28669</v>
      </c>
      <c r="H60" s="4">
        <f t="shared" si="34"/>
        <v>172011</v>
      </c>
      <c r="I60" s="4">
        <v>10505</v>
      </c>
      <c r="J60" s="4">
        <f t="shared" si="35"/>
        <v>153233</v>
      </c>
      <c r="K60" s="4">
        <v>9325</v>
      </c>
      <c r="L60" s="4">
        <f t="shared" si="36"/>
        <v>80500</v>
      </c>
      <c r="M60" s="4">
        <v>3639</v>
      </c>
      <c r="N60" s="4">
        <f t="shared" si="37"/>
        <v>93689</v>
      </c>
      <c r="O60" s="4">
        <v>34486</v>
      </c>
      <c r="P60" s="4">
        <f t="shared" si="38"/>
        <v>201074</v>
      </c>
      <c r="Q60" s="4">
        <v>12083</v>
      </c>
      <c r="R60" s="4">
        <f t="shared" si="39"/>
        <v>172600</v>
      </c>
      <c r="S60" s="4">
        <v>17490</v>
      </c>
      <c r="T60" s="4">
        <f t="shared" si="40"/>
        <v>67467</v>
      </c>
      <c r="U60" s="4">
        <v>7051</v>
      </c>
      <c r="V60" s="4">
        <f t="shared" si="41"/>
        <v>78224</v>
      </c>
      <c r="W60" s="4">
        <v>57171</v>
      </c>
      <c r="X60" s="4">
        <f t="shared" si="42"/>
        <v>210781</v>
      </c>
      <c r="Y60" s="4">
        <v>18638</v>
      </c>
      <c r="Z60" s="4">
        <f t="shared" si="43"/>
        <v>185491</v>
      </c>
      <c r="AA60" s="4">
        <v>20289</v>
      </c>
      <c r="AB60" s="4">
        <f t="shared" si="44"/>
        <v>77004</v>
      </c>
      <c r="AC60" s="4">
        <v>8001</v>
      </c>
      <c r="AD60" s="4">
        <f t="shared" si="45"/>
        <v>86457</v>
      </c>
      <c r="AE60" s="4">
        <v>69840</v>
      </c>
      <c r="AF60" s="4">
        <f t="shared" si="46"/>
        <v>249175</v>
      </c>
      <c r="AG60" s="4">
        <v>21990</v>
      </c>
      <c r="AH60" s="4">
        <f t="shared" si="47"/>
        <v>211236</v>
      </c>
    </row>
    <row r="61" spans="1:34" x14ac:dyDescent="0.25">
      <c r="A61" s="6">
        <v>9</v>
      </c>
      <c r="B61" s="11">
        <v>14</v>
      </c>
      <c r="C61" s="6">
        <v>5267</v>
      </c>
      <c r="D61" s="6">
        <f t="shared" si="32"/>
        <v>76572</v>
      </c>
      <c r="E61" s="6">
        <v>1771</v>
      </c>
      <c r="F61" s="6">
        <f t="shared" si="33"/>
        <v>87309</v>
      </c>
      <c r="G61" s="6">
        <v>26201</v>
      </c>
      <c r="H61" s="6">
        <f t="shared" si="34"/>
        <v>198212</v>
      </c>
      <c r="I61" s="6">
        <v>7535</v>
      </c>
      <c r="J61" s="6">
        <f t="shared" si="35"/>
        <v>160768</v>
      </c>
      <c r="K61" s="6">
        <v>6133</v>
      </c>
      <c r="L61" s="6">
        <f t="shared" si="36"/>
        <v>86633</v>
      </c>
      <c r="M61" s="6">
        <v>2006</v>
      </c>
      <c r="N61" s="6">
        <f t="shared" si="37"/>
        <v>95695</v>
      </c>
      <c r="O61" s="6">
        <v>31151</v>
      </c>
      <c r="P61" s="6">
        <f t="shared" si="38"/>
        <v>232225</v>
      </c>
      <c r="Q61" s="6">
        <v>8609</v>
      </c>
      <c r="R61" s="6">
        <f t="shared" si="39"/>
        <v>181209</v>
      </c>
      <c r="S61" s="6">
        <v>35788</v>
      </c>
      <c r="T61" s="6">
        <f t="shared" si="40"/>
        <v>103255</v>
      </c>
      <c r="U61" s="6">
        <v>7471</v>
      </c>
      <c r="V61" s="6">
        <f t="shared" si="41"/>
        <v>85695</v>
      </c>
      <c r="W61" s="6">
        <v>137439</v>
      </c>
      <c r="X61" s="6">
        <f t="shared" si="42"/>
        <v>348220</v>
      </c>
      <c r="Y61" s="6">
        <v>19017</v>
      </c>
      <c r="Z61" s="6">
        <f t="shared" si="43"/>
        <v>204508</v>
      </c>
      <c r="AA61" s="6">
        <v>41404</v>
      </c>
      <c r="AB61" s="6">
        <f t="shared" si="44"/>
        <v>118408</v>
      </c>
      <c r="AC61" s="6">
        <v>8473</v>
      </c>
      <c r="AD61" s="6">
        <f t="shared" si="45"/>
        <v>94930</v>
      </c>
      <c r="AE61" s="6">
        <v>164076</v>
      </c>
      <c r="AF61" s="6">
        <f t="shared" si="46"/>
        <v>413251</v>
      </c>
      <c r="AG61" s="6">
        <v>22412</v>
      </c>
      <c r="AH61" s="6">
        <f t="shared" si="47"/>
        <v>233648</v>
      </c>
    </row>
    <row r="62" spans="1:34" x14ac:dyDescent="0.25">
      <c r="A62" s="4">
        <v>10</v>
      </c>
      <c r="B62" s="11">
        <v>7</v>
      </c>
      <c r="C62" s="4">
        <v>3274</v>
      </c>
      <c r="D62" s="4">
        <f t="shared" si="32"/>
        <v>79846</v>
      </c>
      <c r="E62" s="4">
        <v>1318</v>
      </c>
      <c r="F62" s="4">
        <f t="shared" si="33"/>
        <v>88627</v>
      </c>
      <c r="G62" s="4">
        <v>26018</v>
      </c>
      <c r="H62" s="4">
        <f t="shared" si="34"/>
        <v>224230</v>
      </c>
      <c r="I62" s="4">
        <v>5794</v>
      </c>
      <c r="J62" s="4">
        <f t="shared" si="35"/>
        <v>166562</v>
      </c>
      <c r="K62" s="4">
        <v>3840</v>
      </c>
      <c r="L62" s="4">
        <f t="shared" si="36"/>
        <v>90473</v>
      </c>
      <c r="M62" s="4">
        <v>1432</v>
      </c>
      <c r="N62" s="4">
        <f t="shared" si="37"/>
        <v>97127</v>
      </c>
      <c r="O62" s="4">
        <v>30786</v>
      </c>
      <c r="P62" s="4">
        <f t="shared" si="38"/>
        <v>263011</v>
      </c>
      <c r="Q62" s="4">
        <v>6521</v>
      </c>
      <c r="R62" s="4">
        <f t="shared" si="39"/>
        <v>187730</v>
      </c>
      <c r="S62" s="4">
        <v>61513</v>
      </c>
      <c r="T62" s="4">
        <f t="shared" si="40"/>
        <v>164768</v>
      </c>
      <c r="U62" s="4">
        <v>6806</v>
      </c>
      <c r="V62" s="4">
        <f t="shared" si="41"/>
        <v>92501</v>
      </c>
      <c r="W62" s="4">
        <v>163188</v>
      </c>
      <c r="X62" s="4">
        <f t="shared" si="42"/>
        <v>511408</v>
      </c>
      <c r="Y62" s="4">
        <v>14672</v>
      </c>
      <c r="Z62" s="4">
        <f t="shared" si="43"/>
        <v>219180</v>
      </c>
      <c r="AA62" s="4">
        <v>71387</v>
      </c>
      <c r="AB62" s="4">
        <f t="shared" si="44"/>
        <v>189795</v>
      </c>
      <c r="AC62" s="4">
        <v>7547</v>
      </c>
      <c r="AD62" s="4">
        <f t="shared" si="45"/>
        <v>102477</v>
      </c>
      <c r="AE62" s="4">
        <v>198913</v>
      </c>
      <c r="AF62" s="4">
        <f t="shared" si="46"/>
        <v>612164</v>
      </c>
      <c r="AG62" s="4">
        <v>16936</v>
      </c>
      <c r="AH62" s="4">
        <f t="shared" si="47"/>
        <v>250584</v>
      </c>
    </row>
    <row r="63" spans="1:34" x14ac:dyDescent="0.25">
      <c r="A63" s="5" t="s">
        <v>7</v>
      </c>
      <c r="B63" s="5"/>
      <c r="C63" s="5">
        <f>SUM(C53:C62)</f>
        <v>79846</v>
      </c>
      <c r="D63" s="5"/>
      <c r="E63" s="5">
        <f>SUM(E53:E62)</f>
        <v>88627</v>
      </c>
      <c r="F63" s="5"/>
      <c r="G63" s="5">
        <f>SUM(G53:G62)</f>
        <v>224230</v>
      </c>
      <c r="H63" s="5"/>
      <c r="I63" s="5">
        <f>SUM(I53:I62)</f>
        <v>166562</v>
      </c>
      <c r="J63" s="5"/>
      <c r="K63" s="5">
        <f>SUM(K53:K62)</f>
        <v>90473</v>
      </c>
      <c r="L63" s="5"/>
      <c r="M63" s="5">
        <f>SUM(M53:M62)</f>
        <v>97127</v>
      </c>
      <c r="N63" s="5"/>
      <c r="O63" s="5">
        <f>SUM(O53:O62)</f>
        <v>263011</v>
      </c>
      <c r="P63" s="5"/>
      <c r="Q63" s="5">
        <f>SUM(Q53:Q62)</f>
        <v>187730</v>
      </c>
      <c r="R63" s="5"/>
      <c r="S63" s="5">
        <f>SUM(S53:S62)</f>
        <v>164768</v>
      </c>
      <c r="T63" s="5"/>
      <c r="U63" s="5">
        <f>SUM(U53:U62)</f>
        <v>92501</v>
      </c>
      <c r="V63" s="5"/>
      <c r="W63" s="5">
        <f>SUM(W53:W62)</f>
        <v>511408</v>
      </c>
      <c r="X63" s="5"/>
      <c r="Y63" s="5">
        <f>SUM(Y53:Y62)</f>
        <v>219180</v>
      </c>
      <c r="Z63" s="5"/>
      <c r="AA63" s="5">
        <f>SUM(AA53:AA62)</f>
        <v>189795</v>
      </c>
      <c r="AB63" s="5"/>
      <c r="AC63" s="5">
        <f>SUM(AC53:AC62)</f>
        <v>102477</v>
      </c>
      <c r="AD63" s="5"/>
      <c r="AE63" s="5">
        <f>SUM(AE53:AE62)</f>
        <v>612164</v>
      </c>
      <c r="AF63" s="5"/>
      <c r="AG63" s="5">
        <f>SUM(AG53:AG62)</f>
        <v>250584</v>
      </c>
      <c r="AH63" s="5"/>
    </row>
    <row r="66" spans="1:34" x14ac:dyDescent="0.25">
      <c r="A66" t="s">
        <v>13</v>
      </c>
    </row>
    <row r="68" spans="1:34" x14ac:dyDescent="0.25">
      <c r="A68" s="3"/>
      <c r="B68" s="3"/>
      <c r="C68" s="7" t="s">
        <v>12</v>
      </c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9"/>
      <c r="S68" s="7" t="s">
        <v>14</v>
      </c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9"/>
    </row>
    <row r="69" spans="1:34" x14ac:dyDescent="0.25">
      <c r="A69" s="3"/>
      <c r="B69" s="3"/>
      <c r="C69" s="7" t="s">
        <v>1</v>
      </c>
      <c r="D69" s="8"/>
      <c r="E69" s="8"/>
      <c r="F69" s="9"/>
      <c r="G69" s="7" t="s">
        <v>0</v>
      </c>
      <c r="H69" s="8"/>
      <c r="I69" s="8"/>
      <c r="J69" s="9"/>
      <c r="K69" s="7" t="s">
        <v>2</v>
      </c>
      <c r="L69" s="8"/>
      <c r="M69" s="8"/>
      <c r="N69" s="9"/>
      <c r="O69" s="7" t="s">
        <v>3</v>
      </c>
      <c r="P69" s="8"/>
      <c r="Q69" s="8"/>
      <c r="R69" s="9"/>
      <c r="S69" s="7" t="s">
        <v>1</v>
      </c>
      <c r="T69" s="8"/>
      <c r="U69" s="8"/>
      <c r="V69" s="9"/>
      <c r="W69" s="7" t="s">
        <v>0</v>
      </c>
      <c r="X69" s="8"/>
      <c r="Y69" s="8"/>
      <c r="Z69" s="9"/>
      <c r="AA69" s="7" t="s">
        <v>2</v>
      </c>
      <c r="AB69" s="8"/>
      <c r="AC69" s="8"/>
      <c r="AD69" s="9"/>
      <c r="AE69" s="7" t="s">
        <v>3</v>
      </c>
      <c r="AF69" s="8"/>
      <c r="AG69" s="8"/>
      <c r="AH69" s="9"/>
    </row>
    <row r="70" spans="1:34" x14ac:dyDescent="0.25">
      <c r="A70" s="3" t="s">
        <v>6</v>
      </c>
      <c r="B70" s="3" t="s">
        <v>20</v>
      </c>
      <c r="C70" s="3" t="s">
        <v>18</v>
      </c>
      <c r="D70" s="3" t="s">
        <v>19</v>
      </c>
      <c r="E70" s="3" t="s">
        <v>15</v>
      </c>
      <c r="F70" s="3" t="s">
        <v>19</v>
      </c>
      <c r="G70" s="3" t="s">
        <v>18</v>
      </c>
      <c r="H70" s="3" t="s">
        <v>19</v>
      </c>
      <c r="I70" s="3" t="s">
        <v>15</v>
      </c>
      <c r="J70" s="3" t="s">
        <v>19</v>
      </c>
      <c r="K70" s="3" t="s">
        <v>18</v>
      </c>
      <c r="L70" s="3" t="s">
        <v>19</v>
      </c>
      <c r="M70" s="3" t="s">
        <v>15</v>
      </c>
      <c r="N70" s="3" t="s">
        <v>19</v>
      </c>
      <c r="O70" s="3" t="s">
        <v>18</v>
      </c>
      <c r="P70" s="3" t="s">
        <v>19</v>
      </c>
      <c r="Q70" s="3" t="s">
        <v>15</v>
      </c>
      <c r="R70" s="3" t="s">
        <v>19</v>
      </c>
      <c r="S70" s="3" t="s">
        <v>18</v>
      </c>
      <c r="T70" s="3" t="s">
        <v>19</v>
      </c>
      <c r="U70" s="3" t="s">
        <v>15</v>
      </c>
      <c r="V70" s="3" t="s">
        <v>19</v>
      </c>
      <c r="W70" s="3" t="s">
        <v>18</v>
      </c>
      <c r="X70" s="3" t="s">
        <v>19</v>
      </c>
      <c r="Y70" s="3" t="s">
        <v>15</v>
      </c>
      <c r="Z70" s="3" t="s">
        <v>19</v>
      </c>
      <c r="AA70" s="3" t="s">
        <v>18</v>
      </c>
      <c r="AB70" s="3" t="s">
        <v>19</v>
      </c>
      <c r="AC70" s="3" t="s">
        <v>15</v>
      </c>
      <c r="AD70" s="3" t="s">
        <v>19</v>
      </c>
      <c r="AE70" s="3" t="s">
        <v>18</v>
      </c>
      <c r="AF70" s="3" t="s">
        <v>19</v>
      </c>
      <c r="AG70" s="3" t="s">
        <v>15</v>
      </c>
      <c r="AH70" s="3" t="s">
        <v>19</v>
      </c>
    </row>
    <row r="71" spans="1:34" x14ac:dyDescent="0.25">
      <c r="A71" s="6">
        <v>1</v>
      </c>
      <c r="B71" s="10">
        <v>653</v>
      </c>
      <c r="C71" s="6">
        <v>4525</v>
      </c>
      <c r="D71" s="6">
        <f>C71</f>
        <v>4525</v>
      </c>
      <c r="E71" s="6">
        <v>25777</v>
      </c>
      <c r="F71" s="6">
        <f>E71</f>
        <v>25777</v>
      </c>
      <c r="G71" s="6">
        <v>5456</v>
      </c>
      <c r="H71" s="6">
        <f>G71</f>
        <v>5456</v>
      </c>
      <c r="I71" s="6">
        <v>29892</v>
      </c>
      <c r="J71" s="6">
        <f>I71</f>
        <v>29892</v>
      </c>
      <c r="K71" s="6">
        <v>4819</v>
      </c>
      <c r="L71" s="6">
        <f>K71</f>
        <v>4819</v>
      </c>
      <c r="M71" s="6">
        <v>27322</v>
      </c>
      <c r="N71" s="6">
        <f>M71</f>
        <v>27322</v>
      </c>
      <c r="O71" s="6">
        <v>5903</v>
      </c>
      <c r="P71" s="6">
        <f>O71</f>
        <v>5903</v>
      </c>
      <c r="Q71" s="6">
        <v>31990</v>
      </c>
      <c r="R71" s="6">
        <f>Q71</f>
        <v>31990</v>
      </c>
      <c r="S71" s="6">
        <v>4315</v>
      </c>
      <c r="T71" s="6">
        <f>S71</f>
        <v>4315</v>
      </c>
      <c r="U71" s="6">
        <v>20768</v>
      </c>
      <c r="V71" s="6">
        <f>U71</f>
        <v>20768</v>
      </c>
      <c r="W71" s="6">
        <v>6211</v>
      </c>
      <c r="X71" s="6">
        <f>W71</f>
        <v>6211</v>
      </c>
      <c r="Y71" s="6">
        <v>29183</v>
      </c>
      <c r="Z71" s="6">
        <f>Y71</f>
        <v>29183</v>
      </c>
      <c r="AA71" s="6">
        <v>4538</v>
      </c>
      <c r="AB71" s="6">
        <f>AA71</f>
        <v>4538</v>
      </c>
      <c r="AC71" s="6">
        <v>22118</v>
      </c>
      <c r="AD71" s="6">
        <f>AC71</f>
        <v>22118</v>
      </c>
      <c r="AE71" s="6">
        <v>6587</v>
      </c>
      <c r="AF71" s="6">
        <f>AE71</f>
        <v>6587</v>
      </c>
      <c r="AG71" s="6">
        <v>31755</v>
      </c>
      <c r="AH71" s="6">
        <f>AG71</f>
        <v>31755</v>
      </c>
    </row>
    <row r="72" spans="1:34" x14ac:dyDescent="0.25">
      <c r="A72" s="4">
        <v>2</v>
      </c>
      <c r="B72" s="11">
        <v>446</v>
      </c>
      <c r="C72" s="4">
        <v>4303</v>
      </c>
      <c r="D72" s="4">
        <f>C72+D71</f>
        <v>8828</v>
      </c>
      <c r="E72" s="4">
        <v>7300</v>
      </c>
      <c r="F72" s="4">
        <f>E72+F71</f>
        <v>33077</v>
      </c>
      <c r="G72" s="4">
        <v>6373</v>
      </c>
      <c r="H72" s="4">
        <f>G72+H71</f>
        <v>11829</v>
      </c>
      <c r="I72" s="4">
        <v>11189</v>
      </c>
      <c r="J72" s="4">
        <f>I72+J71</f>
        <v>41081</v>
      </c>
      <c r="K72" s="4">
        <v>4675</v>
      </c>
      <c r="L72" s="4">
        <f>K72+L71</f>
        <v>9494</v>
      </c>
      <c r="M72" s="4">
        <v>7924</v>
      </c>
      <c r="N72" s="4">
        <f>M72+N71</f>
        <v>35246</v>
      </c>
      <c r="O72" s="4">
        <v>7049</v>
      </c>
      <c r="P72" s="4">
        <f>O72+P71</f>
        <v>12952</v>
      </c>
      <c r="Q72" s="4">
        <v>12311</v>
      </c>
      <c r="R72" s="4">
        <f>Q72+R71</f>
        <v>44301</v>
      </c>
      <c r="S72" s="4">
        <v>4520</v>
      </c>
      <c r="T72" s="4">
        <f>S72+T71</f>
        <v>8835</v>
      </c>
      <c r="U72" s="4">
        <v>10001</v>
      </c>
      <c r="V72" s="4">
        <f>U72+V71</f>
        <v>30769</v>
      </c>
      <c r="W72" s="4">
        <v>9411</v>
      </c>
      <c r="X72" s="4">
        <f>W72+X71</f>
        <v>15622</v>
      </c>
      <c r="Y72" s="4">
        <v>22603</v>
      </c>
      <c r="Z72" s="4">
        <f>Y72+Z71</f>
        <v>51786</v>
      </c>
      <c r="AA72" s="4">
        <v>4843</v>
      </c>
      <c r="AB72" s="4">
        <f>AA72+AB71</f>
        <v>9381</v>
      </c>
      <c r="AC72" s="4">
        <v>10882</v>
      </c>
      <c r="AD72" s="4">
        <f>AC72+AD71</f>
        <v>33000</v>
      </c>
      <c r="AE72" s="4">
        <v>10163</v>
      </c>
      <c r="AF72" s="4">
        <f>AE72+AF71</f>
        <v>16750</v>
      </c>
      <c r="AG72" s="4">
        <v>25099</v>
      </c>
      <c r="AH72" s="4">
        <f>AG72+AH71</f>
        <v>56854</v>
      </c>
    </row>
    <row r="73" spans="1:34" x14ac:dyDescent="0.25">
      <c r="A73" s="6">
        <v>3</v>
      </c>
      <c r="B73" s="11">
        <v>315</v>
      </c>
      <c r="C73" s="6">
        <v>4838</v>
      </c>
      <c r="D73" s="6">
        <f t="shared" ref="D73:D80" si="48">C73+D72</f>
        <v>13666</v>
      </c>
      <c r="E73" s="6">
        <v>5940</v>
      </c>
      <c r="F73" s="6">
        <f t="shared" ref="F73:F80" si="49">E73+F72</f>
        <v>39017</v>
      </c>
      <c r="G73" s="6">
        <v>8748</v>
      </c>
      <c r="H73" s="6">
        <f t="shared" ref="H73:H80" si="50">G73+H72</f>
        <v>20577</v>
      </c>
      <c r="I73" s="6">
        <v>11416</v>
      </c>
      <c r="J73" s="6">
        <f t="shared" ref="J73:J80" si="51">I73+J72</f>
        <v>52497</v>
      </c>
      <c r="K73" s="6">
        <v>5363</v>
      </c>
      <c r="L73" s="6">
        <f t="shared" ref="L73:L80" si="52">K73+L72</f>
        <v>14857</v>
      </c>
      <c r="M73" s="6">
        <v>6442</v>
      </c>
      <c r="N73" s="6">
        <f t="shared" ref="N73:N80" si="53">M73+N72</f>
        <v>41688</v>
      </c>
      <c r="O73" s="6">
        <v>9881</v>
      </c>
      <c r="P73" s="6">
        <f t="shared" ref="P73:P80" si="54">O73+P72</f>
        <v>22833</v>
      </c>
      <c r="Q73" s="6">
        <v>12638</v>
      </c>
      <c r="R73" s="6">
        <f t="shared" ref="R73:R80" si="55">Q73+R72</f>
        <v>56939</v>
      </c>
      <c r="S73" s="6">
        <v>3198</v>
      </c>
      <c r="T73" s="6">
        <f t="shared" ref="T73:T80" si="56">S73+T72</f>
        <v>12033</v>
      </c>
      <c r="U73" s="6">
        <v>6926</v>
      </c>
      <c r="V73" s="6">
        <f t="shared" ref="V73:V80" si="57">U73+V72</f>
        <v>37695</v>
      </c>
      <c r="W73" s="6">
        <v>8290</v>
      </c>
      <c r="X73" s="6">
        <f t="shared" ref="X73:X80" si="58">W73+X72</f>
        <v>23912</v>
      </c>
      <c r="Y73" s="6">
        <v>18887</v>
      </c>
      <c r="Z73" s="6">
        <f t="shared" ref="Z73:Z80" si="59">Y73+Z72</f>
        <v>70673</v>
      </c>
      <c r="AA73" s="6">
        <v>3502</v>
      </c>
      <c r="AB73" s="6">
        <f t="shared" ref="AB73:AB80" si="60">AA73+AB72</f>
        <v>12883</v>
      </c>
      <c r="AC73" s="6">
        <v>7669</v>
      </c>
      <c r="AD73" s="6">
        <f t="shared" ref="AD73:AD80" si="61">AC73+AD72</f>
        <v>40669</v>
      </c>
      <c r="AE73" s="6">
        <v>9118</v>
      </c>
      <c r="AF73" s="6">
        <f t="shared" ref="AF73:AF80" si="62">AE73+AF72</f>
        <v>25868</v>
      </c>
      <c r="AG73" s="6">
        <v>21190</v>
      </c>
      <c r="AH73" s="6">
        <f t="shared" ref="AH73:AH80" si="63">AG73+AH72</f>
        <v>78044</v>
      </c>
    </row>
    <row r="74" spans="1:34" x14ac:dyDescent="0.25">
      <c r="A74" s="4">
        <v>4</v>
      </c>
      <c r="B74" s="11">
        <v>189</v>
      </c>
      <c r="C74" s="4">
        <v>5002</v>
      </c>
      <c r="D74" s="4">
        <f t="shared" si="48"/>
        <v>18668</v>
      </c>
      <c r="E74" s="4">
        <v>4567</v>
      </c>
      <c r="F74" s="4">
        <f t="shared" si="49"/>
        <v>43584</v>
      </c>
      <c r="G74" s="4">
        <v>10815</v>
      </c>
      <c r="H74" s="4">
        <f t="shared" si="50"/>
        <v>31392</v>
      </c>
      <c r="I74" s="4">
        <v>10490</v>
      </c>
      <c r="J74" s="4">
        <f t="shared" si="51"/>
        <v>62987</v>
      </c>
      <c r="K74" s="4">
        <v>5608</v>
      </c>
      <c r="L74" s="4">
        <f t="shared" si="52"/>
        <v>20465</v>
      </c>
      <c r="M74" s="4">
        <v>4952</v>
      </c>
      <c r="N74" s="4">
        <f t="shared" si="53"/>
        <v>46640</v>
      </c>
      <c r="O74" s="4">
        <v>12451</v>
      </c>
      <c r="P74" s="4">
        <f t="shared" si="54"/>
        <v>35284</v>
      </c>
      <c r="Q74" s="4">
        <v>11623</v>
      </c>
      <c r="R74" s="4">
        <f t="shared" si="55"/>
        <v>68562</v>
      </c>
      <c r="S74" s="4">
        <v>2963</v>
      </c>
      <c r="T74" s="4">
        <f t="shared" si="56"/>
        <v>14996</v>
      </c>
      <c r="U74" s="4">
        <v>5835</v>
      </c>
      <c r="V74" s="4">
        <f t="shared" si="57"/>
        <v>43530</v>
      </c>
      <c r="W74" s="4">
        <v>9653</v>
      </c>
      <c r="X74" s="4">
        <f t="shared" si="58"/>
        <v>33565</v>
      </c>
      <c r="Y74" s="4">
        <v>17707</v>
      </c>
      <c r="Z74" s="4">
        <f t="shared" si="59"/>
        <v>88380</v>
      </c>
      <c r="AA74" s="4">
        <v>3297</v>
      </c>
      <c r="AB74" s="4">
        <f t="shared" si="60"/>
        <v>16180</v>
      </c>
      <c r="AC74" s="4">
        <v>6599</v>
      </c>
      <c r="AD74" s="4">
        <f t="shared" si="61"/>
        <v>47268</v>
      </c>
      <c r="AE74" s="4">
        <v>10851</v>
      </c>
      <c r="AF74" s="4">
        <f t="shared" si="62"/>
        <v>36719</v>
      </c>
      <c r="AG74" s="4">
        <v>20412</v>
      </c>
      <c r="AH74" s="4">
        <f t="shared" si="63"/>
        <v>98456</v>
      </c>
    </row>
    <row r="75" spans="1:34" x14ac:dyDescent="0.25">
      <c r="A75" s="6">
        <v>5</v>
      </c>
      <c r="B75" s="11">
        <v>121</v>
      </c>
      <c r="C75" s="6">
        <v>4692</v>
      </c>
      <c r="D75" s="6">
        <f t="shared" si="48"/>
        <v>23360</v>
      </c>
      <c r="E75" s="6">
        <v>5111</v>
      </c>
      <c r="F75" s="6">
        <f t="shared" si="49"/>
        <v>48695</v>
      </c>
      <c r="G75" s="6">
        <v>12188</v>
      </c>
      <c r="H75" s="6">
        <f t="shared" si="50"/>
        <v>43580</v>
      </c>
      <c r="I75" s="6">
        <v>12770</v>
      </c>
      <c r="J75" s="6">
        <f t="shared" si="51"/>
        <v>75757</v>
      </c>
      <c r="K75" s="6">
        <v>5364</v>
      </c>
      <c r="L75" s="6">
        <f t="shared" si="52"/>
        <v>25829</v>
      </c>
      <c r="M75" s="6">
        <v>5652</v>
      </c>
      <c r="N75" s="6">
        <f t="shared" si="53"/>
        <v>52292</v>
      </c>
      <c r="O75" s="6">
        <v>14128</v>
      </c>
      <c r="P75" s="6">
        <f t="shared" si="54"/>
        <v>49412</v>
      </c>
      <c r="Q75" s="6">
        <v>14519</v>
      </c>
      <c r="R75" s="6">
        <f t="shared" si="55"/>
        <v>83081</v>
      </c>
      <c r="S75" s="6">
        <v>4437</v>
      </c>
      <c r="T75" s="6">
        <f t="shared" si="56"/>
        <v>19433</v>
      </c>
      <c r="U75" s="6">
        <v>3028</v>
      </c>
      <c r="V75" s="6">
        <f t="shared" si="57"/>
        <v>46558</v>
      </c>
      <c r="W75" s="6">
        <v>15792</v>
      </c>
      <c r="X75" s="6">
        <f t="shared" si="58"/>
        <v>49357</v>
      </c>
      <c r="Y75" s="6">
        <v>10747</v>
      </c>
      <c r="Z75" s="6">
        <f t="shared" si="59"/>
        <v>99127</v>
      </c>
      <c r="AA75" s="6">
        <v>5018</v>
      </c>
      <c r="AB75" s="6">
        <f t="shared" si="60"/>
        <v>21198</v>
      </c>
      <c r="AC75" s="6">
        <v>3442</v>
      </c>
      <c r="AD75" s="6">
        <f t="shared" si="61"/>
        <v>50710</v>
      </c>
      <c r="AE75" s="6">
        <v>18181</v>
      </c>
      <c r="AF75" s="6">
        <f t="shared" si="62"/>
        <v>54900</v>
      </c>
      <c r="AG75" s="6">
        <v>12251</v>
      </c>
      <c r="AH75" s="6">
        <f t="shared" si="63"/>
        <v>110707</v>
      </c>
    </row>
    <row r="76" spans="1:34" x14ac:dyDescent="0.25">
      <c r="A76" s="4">
        <v>6</v>
      </c>
      <c r="B76" s="11">
        <v>95</v>
      </c>
      <c r="C76" s="4">
        <v>8800</v>
      </c>
      <c r="D76" s="4">
        <f t="shared" si="48"/>
        <v>32160</v>
      </c>
      <c r="E76" s="4">
        <v>4726</v>
      </c>
      <c r="F76" s="4">
        <f t="shared" si="49"/>
        <v>53421</v>
      </c>
      <c r="G76" s="4">
        <v>23757</v>
      </c>
      <c r="H76" s="4">
        <f t="shared" si="50"/>
        <v>67337</v>
      </c>
      <c r="I76" s="4">
        <v>12938</v>
      </c>
      <c r="J76" s="4">
        <f t="shared" si="51"/>
        <v>88695</v>
      </c>
      <c r="K76" s="4">
        <v>10092</v>
      </c>
      <c r="L76" s="4">
        <f t="shared" si="52"/>
        <v>35921</v>
      </c>
      <c r="M76" s="4">
        <v>5351</v>
      </c>
      <c r="N76" s="4">
        <f t="shared" si="53"/>
        <v>57643</v>
      </c>
      <c r="O76" s="4">
        <v>28071</v>
      </c>
      <c r="P76" s="4">
        <f t="shared" si="54"/>
        <v>77483</v>
      </c>
      <c r="Q76" s="4">
        <v>14925</v>
      </c>
      <c r="R76" s="4">
        <f t="shared" si="55"/>
        <v>98006</v>
      </c>
      <c r="S76" s="4">
        <v>7524</v>
      </c>
      <c r="T76" s="4">
        <f t="shared" si="56"/>
        <v>26957</v>
      </c>
      <c r="U76" s="4">
        <v>3082</v>
      </c>
      <c r="V76" s="4">
        <f t="shared" si="57"/>
        <v>49640</v>
      </c>
      <c r="W76" s="4">
        <v>28214</v>
      </c>
      <c r="X76" s="4">
        <f t="shared" si="58"/>
        <v>77571</v>
      </c>
      <c r="Y76" s="4">
        <v>11354</v>
      </c>
      <c r="Z76" s="4">
        <f t="shared" si="59"/>
        <v>110481</v>
      </c>
      <c r="AA76" s="4">
        <v>8775</v>
      </c>
      <c r="AB76" s="4">
        <f t="shared" si="60"/>
        <v>29973</v>
      </c>
      <c r="AC76" s="4">
        <v>3451</v>
      </c>
      <c r="AD76" s="4">
        <f t="shared" si="61"/>
        <v>54161</v>
      </c>
      <c r="AE76" s="4">
        <v>33542</v>
      </c>
      <c r="AF76" s="4">
        <f t="shared" si="62"/>
        <v>88442</v>
      </c>
      <c r="AG76" s="4">
        <v>12713</v>
      </c>
      <c r="AH76" s="4">
        <f t="shared" si="63"/>
        <v>123420</v>
      </c>
    </row>
    <row r="77" spans="1:34" x14ac:dyDescent="0.25">
      <c r="A77" s="6">
        <v>7</v>
      </c>
      <c r="B77" s="11">
        <v>67</v>
      </c>
      <c r="C77" s="6">
        <v>12332</v>
      </c>
      <c r="D77" s="6">
        <f t="shared" si="48"/>
        <v>44492</v>
      </c>
      <c r="E77" s="6">
        <v>4749</v>
      </c>
      <c r="F77" s="6">
        <f t="shared" si="49"/>
        <v>58170</v>
      </c>
      <c r="G77" s="6">
        <v>42030</v>
      </c>
      <c r="H77" s="6">
        <f t="shared" si="50"/>
        <v>109367</v>
      </c>
      <c r="I77" s="6">
        <v>14430</v>
      </c>
      <c r="J77" s="6">
        <f t="shared" si="51"/>
        <v>103125</v>
      </c>
      <c r="K77" s="6">
        <v>14384</v>
      </c>
      <c r="L77" s="6">
        <f t="shared" si="52"/>
        <v>50305</v>
      </c>
      <c r="M77" s="6">
        <v>5332</v>
      </c>
      <c r="N77" s="6">
        <f t="shared" si="53"/>
        <v>62975</v>
      </c>
      <c r="O77" s="6">
        <v>49471</v>
      </c>
      <c r="P77" s="6">
        <f t="shared" si="54"/>
        <v>126954</v>
      </c>
      <c r="Q77" s="6">
        <v>16553</v>
      </c>
      <c r="R77" s="6">
        <f t="shared" si="55"/>
        <v>114559</v>
      </c>
      <c r="S77" s="6">
        <v>11868</v>
      </c>
      <c r="T77" s="6">
        <f t="shared" si="56"/>
        <v>38825</v>
      </c>
      <c r="U77" s="6">
        <v>6177</v>
      </c>
      <c r="V77" s="6">
        <f t="shared" si="57"/>
        <v>55817</v>
      </c>
      <c r="W77" s="6">
        <v>47681</v>
      </c>
      <c r="X77" s="6">
        <f t="shared" si="58"/>
        <v>125252</v>
      </c>
      <c r="Y77" s="6">
        <v>20815</v>
      </c>
      <c r="Z77" s="6">
        <f t="shared" si="59"/>
        <v>131296</v>
      </c>
      <c r="AA77" s="6">
        <v>13967</v>
      </c>
      <c r="AB77" s="6">
        <f t="shared" si="60"/>
        <v>43940</v>
      </c>
      <c r="AC77" s="6">
        <v>7032</v>
      </c>
      <c r="AD77" s="6">
        <f t="shared" si="61"/>
        <v>61193</v>
      </c>
      <c r="AE77" s="6">
        <v>56786</v>
      </c>
      <c r="AF77" s="6">
        <f t="shared" si="62"/>
        <v>145228</v>
      </c>
      <c r="AG77" s="6">
        <v>24131</v>
      </c>
      <c r="AH77" s="6">
        <f t="shared" si="63"/>
        <v>147551</v>
      </c>
    </row>
    <row r="78" spans="1:34" x14ac:dyDescent="0.25">
      <c r="A78" s="4">
        <v>8</v>
      </c>
      <c r="B78" s="11">
        <v>38</v>
      </c>
      <c r="C78" s="4">
        <v>8041</v>
      </c>
      <c r="D78" s="4">
        <f t="shared" si="48"/>
        <v>52533</v>
      </c>
      <c r="E78" s="4">
        <v>3249</v>
      </c>
      <c r="F78" s="4">
        <f t="shared" si="49"/>
        <v>61419</v>
      </c>
      <c r="G78" s="4">
        <v>28654</v>
      </c>
      <c r="H78" s="4">
        <f t="shared" si="50"/>
        <v>138021</v>
      </c>
      <c r="I78" s="4">
        <v>10485</v>
      </c>
      <c r="J78" s="4">
        <f t="shared" si="51"/>
        <v>113610</v>
      </c>
      <c r="K78" s="4">
        <v>9317</v>
      </c>
      <c r="L78" s="4">
        <f t="shared" si="52"/>
        <v>59622</v>
      </c>
      <c r="M78" s="4">
        <v>3623</v>
      </c>
      <c r="N78" s="4">
        <f t="shared" si="53"/>
        <v>66598</v>
      </c>
      <c r="O78" s="4">
        <v>34471</v>
      </c>
      <c r="P78" s="4">
        <f t="shared" si="54"/>
        <v>161425</v>
      </c>
      <c r="Q78" s="4">
        <v>12063</v>
      </c>
      <c r="R78" s="4">
        <f t="shared" si="55"/>
        <v>126622</v>
      </c>
      <c r="S78" s="4">
        <v>17481</v>
      </c>
      <c r="T78" s="4">
        <f t="shared" si="56"/>
        <v>56306</v>
      </c>
      <c r="U78" s="4">
        <v>7028</v>
      </c>
      <c r="V78" s="4">
        <f t="shared" si="57"/>
        <v>62845</v>
      </c>
      <c r="W78" s="4">
        <v>57158</v>
      </c>
      <c r="X78" s="4">
        <f t="shared" si="58"/>
        <v>182410</v>
      </c>
      <c r="Y78" s="4">
        <v>18606</v>
      </c>
      <c r="Z78" s="4">
        <f t="shared" si="59"/>
        <v>149902</v>
      </c>
      <c r="AA78" s="4">
        <v>20280</v>
      </c>
      <c r="AB78" s="4">
        <f t="shared" si="60"/>
        <v>64220</v>
      </c>
      <c r="AC78" s="4">
        <v>7978</v>
      </c>
      <c r="AD78" s="4">
        <f t="shared" si="61"/>
        <v>69171</v>
      </c>
      <c r="AE78" s="4">
        <v>69827</v>
      </c>
      <c r="AF78" s="4">
        <f t="shared" si="62"/>
        <v>215055</v>
      </c>
      <c r="AG78" s="4">
        <v>21958</v>
      </c>
      <c r="AH78" s="4">
        <f t="shared" si="63"/>
        <v>169509</v>
      </c>
    </row>
    <row r="79" spans="1:34" x14ac:dyDescent="0.25">
      <c r="A79" s="6">
        <v>9</v>
      </c>
      <c r="B79" s="11">
        <v>14</v>
      </c>
      <c r="C79" s="6">
        <v>5266</v>
      </c>
      <c r="D79" s="6">
        <f t="shared" si="48"/>
        <v>57799</v>
      </c>
      <c r="E79" s="6">
        <v>1762</v>
      </c>
      <c r="F79" s="6">
        <f t="shared" si="49"/>
        <v>63181</v>
      </c>
      <c r="G79" s="6">
        <v>26200</v>
      </c>
      <c r="H79" s="6">
        <f t="shared" si="50"/>
        <v>164221</v>
      </c>
      <c r="I79" s="6">
        <v>7526</v>
      </c>
      <c r="J79" s="6">
        <f t="shared" si="51"/>
        <v>121136</v>
      </c>
      <c r="K79" s="6">
        <v>6132</v>
      </c>
      <c r="L79" s="6">
        <f t="shared" si="52"/>
        <v>65754</v>
      </c>
      <c r="M79" s="6">
        <v>1996</v>
      </c>
      <c r="N79" s="6">
        <f t="shared" si="53"/>
        <v>68594</v>
      </c>
      <c r="O79" s="6">
        <v>31150</v>
      </c>
      <c r="P79" s="6">
        <f t="shared" si="54"/>
        <v>192575</v>
      </c>
      <c r="Q79" s="6">
        <v>8599</v>
      </c>
      <c r="R79" s="6">
        <f t="shared" si="55"/>
        <v>135221</v>
      </c>
      <c r="S79" s="6">
        <v>35788</v>
      </c>
      <c r="T79" s="6">
        <f t="shared" si="56"/>
        <v>92094</v>
      </c>
      <c r="U79" s="6">
        <v>7464</v>
      </c>
      <c r="V79" s="6">
        <f t="shared" si="57"/>
        <v>70309</v>
      </c>
      <c r="W79" s="6">
        <v>137439</v>
      </c>
      <c r="X79" s="6">
        <f t="shared" si="58"/>
        <v>319849</v>
      </c>
      <c r="Y79" s="6">
        <v>19010</v>
      </c>
      <c r="Z79" s="6">
        <f t="shared" si="59"/>
        <v>168912</v>
      </c>
      <c r="AA79" s="6">
        <v>41404</v>
      </c>
      <c r="AB79" s="6">
        <f t="shared" si="60"/>
        <v>105624</v>
      </c>
      <c r="AC79" s="6">
        <v>8466</v>
      </c>
      <c r="AD79" s="6">
        <f t="shared" si="61"/>
        <v>77637</v>
      </c>
      <c r="AE79" s="6">
        <v>164076</v>
      </c>
      <c r="AF79" s="6">
        <f t="shared" si="62"/>
        <v>379131</v>
      </c>
      <c r="AG79" s="6">
        <v>22405</v>
      </c>
      <c r="AH79" s="6">
        <f t="shared" si="63"/>
        <v>191914</v>
      </c>
    </row>
    <row r="80" spans="1:34" x14ac:dyDescent="0.25">
      <c r="A80" s="4">
        <v>10</v>
      </c>
      <c r="B80" s="11">
        <v>7</v>
      </c>
      <c r="C80" s="4">
        <v>3273</v>
      </c>
      <c r="D80" s="4">
        <f t="shared" si="48"/>
        <v>61072</v>
      </c>
      <c r="E80" s="4">
        <v>1309</v>
      </c>
      <c r="F80" s="4">
        <f t="shared" si="49"/>
        <v>64490</v>
      </c>
      <c r="G80" s="4">
        <v>26017</v>
      </c>
      <c r="H80" s="4">
        <f t="shared" si="50"/>
        <v>190238</v>
      </c>
      <c r="I80" s="4">
        <v>5785</v>
      </c>
      <c r="J80" s="4">
        <f t="shared" si="51"/>
        <v>126921</v>
      </c>
      <c r="K80" s="4">
        <v>3839</v>
      </c>
      <c r="L80" s="4">
        <f t="shared" si="52"/>
        <v>69593</v>
      </c>
      <c r="M80" s="4">
        <v>1423</v>
      </c>
      <c r="N80" s="4">
        <f t="shared" si="53"/>
        <v>70017</v>
      </c>
      <c r="O80" s="4">
        <v>30785</v>
      </c>
      <c r="P80" s="4">
        <f t="shared" si="54"/>
        <v>223360</v>
      </c>
      <c r="Q80" s="4">
        <v>6512</v>
      </c>
      <c r="R80" s="4">
        <f t="shared" si="55"/>
        <v>141733</v>
      </c>
      <c r="S80" s="4">
        <v>61511</v>
      </c>
      <c r="T80" s="4">
        <f t="shared" si="56"/>
        <v>153605</v>
      </c>
      <c r="U80" s="4">
        <v>6799</v>
      </c>
      <c r="V80" s="4">
        <f t="shared" si="57"/>
        <v>77108</v>
      </c>
      <c r="W80" s="4">
        <v>163186</v>
      </c>
      <c r="X80" s="4">
        <f t="shared" si="58"/>
        <v>483035</v>
      </c>
      <c r="Y80" s="4">
        <v>14665</v>
      </c>
      <c r="Z80" s="4">
        <f t="shared" si="59"/>
        <v>183577</v>
      </c>
      <c r="AA80" s="4">
        <v>71385</v>
      </c>
      <c r="AB80" s="4">
        <f t="shared" si="60"/>
        <v>177009</v>
      </c>
      <c r="AC80" s="4">
        <v>7540</v>
      </c>
      <c r="AD80" s="4">
        <f t="shared" si="61"/>
        <v>85177</v>
      </c>
      <c r="AE80" s="4">
        <v>198911</v>
      </c>
      <c r="AF80" s="4">
        <f t="shared" si="62"/>
        <v>578042</v>
      </c>
      <c r="AG80" s="4">
        <v>16929</v>
      </c>
      <c r="AH80" s="4">
        <f t="shared" si="63"/>
        <v>208843</v>
      </c>
    </row>
    <row r="81" spans="1:34" x14ac:dyDescent="0.25">
      <c r="A81" s="5" t="s">
        <v>7</v>
      </c>
      <c r="B81" s="5"/>
      <c r="C81" s="5">
        <f>SUM(C71:C80)</f>
        <v>61072</v>
      </c>
      <c r="D81" s="5"/>
      <c r="E81" s="5">
        <f>SUM(E71:E80)</f>
        <v>64490</v>
      </c>
      <c r="F81" s="5"/>
      <c r="G81" s="5">
        <f>SUM(G71:G80)</f>
        <v>190238</v>
      </c>
      <c r="H81" s="5"/>
      <c r="I81" s="5">
        <f>SUM(I71:I80)</f>
        <v>126921</v>
      </c>
      <c r="J81" s="5"/>
      <c r="K81" s="5">
        <f>SUM(K71:K80)</f>
        <v>69593</v>
      </c>
      <c r="L81" s="5"/>
      <c r="M81" s="5">
        <f>SUM(M71:M80)</f>
        <v>70017</v>
      </c>
      <c r="N81" s="5"/>
      <c r="O81" s="5">
        <f>SUM(O71:O80)</f>
        <v>223360</v>
      </c>
      <c r="P81" s="5"/>
      <c r="Q81" s="5">
        <f>SUM(Q71:Q80)</f>
        <v>141733</v>
      </c>
      <c r="R81" s="5"/>
      <c r="S81" s="5">
        <f>SUM(S71:S80)</f>
        <v>153605</v>
      </c>
      <c r="T81" s="5"/>
      <c r="U81" s="5">
        <f>SUM(U71:U80)</f>
        <v>77108</v>
      </c>
      <c r="V81" s="5"/>
      <c r="W81" s="5">
        <f>SUM(W71:W80)</f>
        <v>483035</v>
      </c>
      <c r="X81" s="5"/>
      <c r="Y81" s="5">
        <f>SUM(Y71:Y80)</f>
        <v>183577</v>
      </c>
      <c r="Z81" s="5"/>
      <c r="AA81" s="5">
        <f>SUM(AA71:AA80)</f>
        <v>177009</v>
      </c>
      <c r="AB81" s="5"/>
      <c r="AC81" s="5">
        <f>SUM(AC71:AC80)</f>
        <v>85177</v>
      </c>
      <c r="AD81" s="5"/>
      <c r="AE81" s="5">
        <f>SUM(AE71:AE80)</f>
        <v>578042</v>
      </c>
      <c r="AF81" s="5"/>
      <c r="AG81" s="5">
        <f>SUM(AG71:AG80)</f>
        <v>208843</v>
      </c>
      <c r="AH81" s="5"/>
    </row>
  </sheetData>
  <mergeCells count="40">
    <mergeCell ref="S68:AH68"/>
    <mergeCell ref="C69:F69"/>
    <mergeCell ref="G69:J69"/>
    <mergeCell ref="K69:N69"/>
    <mergeCell ref="O69:R69"/>
    <mergeCell ref="S69:V69"/>
    <mergeCell ref="W69:Z69"/>
    <mergeCell ref="AA69:AD69"/>
    <mergeCell ref="AE69:AH69"/>
    <mergeCell ref="C50:R50"/>
    <mergeCell ref="S50:AH50"/>
    <mergeCell ref="C51:F51"/>
    <mergeCell ref="G51:J51"/>
    <mergeCell ref="K51:N51"/>
    <mergeCell ref="O51:R51"/>
    <mergeCell ref="S51:V51"/>
    <mergeCell ref="W51:Z51"/>
    <mergeCell ref="AA51:AD51"/>
    <mergeCell ref="AE51:AH51"/>
    <mergeCell ref="C30:R30"/>
    <mergeCell ref="S30:AH30"/>
    <mergeCell ref="C31:F31"/>
    <mergeCell ref="G31:J31"/>
    <mergeCell ref="K31:N31"/>
    <mergeCell ref="O31:R31"/>
    <mergeCell ref="S31:V31"/>
    <mergeCell ref="W31:Z31"/>
    <mergeCell ref="AA31:AD31"/>
    <mergeCell ref="AE31:AH31"/>
    <mergeCell ref="C12:R12"/>
    <mergeCell ref="S12:AH12"/>
    <mergeCell ref="C13:F13"/>
    <mergeCell ref="G13:J13"/>
    <mergeCell ref="K13:N13"/>
    <mergeCell ref="O13:R13"/>
    <mergeCell ref="S13:V13"/>
    <mergeCell ref="W13:Z13"/>
    <mergeCell ref="AA13:AD13"/>
    <mergeCell ref="AE13:AH13"/>
    <mergeCell ref="C68:R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Synergie</vt:lpstr>
      <vt:lpstr>Syn012</vt:lpstr>
      <vt:lpstr>KGM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2025-12-03T08:57:46Z</dcterms:modified>
</cp:coreProperties>
</file>