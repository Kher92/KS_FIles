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22D7BFC1-2C77-421B-90F4-00B48E96226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ynergie" sheetId="1" r:id="rId1"/>
    <sheet name="Syn012" sheetId="2" r:id="rId2"/>
    <sheet name="KG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3" l="1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73" i="3"/>
  <c r="C73" i="3"/>
  <c r="D73" i="3"/>
  <c r="E73" i="3"/>
  <c r="F73" i="3"/>
  <c r="G73" i="3"/>
  <c r="H73" i="3"/>
  <c r="I73" i="3"/>
  <c r="Q73" i="3" l="1"/>
  <c r="P73" i="3"/>
  <c r="O73" i="3"/>
  <c r="N73" i="3"/>
  <c r="M73" i="3"/>
  <c r="L73" i="3"/>
  <c r="K73" i="3"/>
  <c r="J73" i="3"/>
  <c r="Q25" i="3"/>
  <c r="P25" i="3"/>
  <c r="O25" i="3"/>
  <c r="N25" i="3"/>
  <c r="M25" i="3"/>
  <c r="L25" i="3"/>
  <c r="K25" i="3"/>
  <c r="J25" i="3"/>
  <c r="Y67" i="2"/>
  <c r="X67" i="2"/>
  <c r="W67" i="2"/>
  <c r="V67" i="2"/>
  <c r="U67" i="2"/>
  <c r="T67" i="2"/>
  <c r="S67" i="2"/>
  <c r="R67" i="2"/>
  <c r="Q67" i="2"/>
  <c r="P67" i="2"/>
  <c r="O67" i="2"/>
  <c r="N67" i="2"/>
  <c r="Y25" i="2"/>
  <c r="X25" i="2"/>
  <c r="W25" i="2"/>
  <c r="V25" i="2"/>
  <c r="U25" i="2"/>
  <c r="T25" i="2"/>
  <c r="S25" i="2"/>
  <c r="R25" i="2"/>
  <c r="Q25" i="2"/>
  <c r="P25" i="2"/>
  <c r="O25" i="2"/>
  <c r="N25" i="2"/>
  <c r="Y65" i="1"/>
  <c r="X65" i="1"/>
  <c r="W65" i="1"/>
  <c r="V65" i="1"/>
  <c r="U65" i="1"/>
  <c r="T65" i="1"/>
  <c r="S65" i="1"/>
  <c r="R65" i="1"/>
  <c r="Q65" i="1"/>
  <c r="P65" i="1"/>
  <c r="O65" i="1"/>
  <c r="N65" i="1"/>
  <c r="N25" i="1"/>
  <c r="O25" i="1"/>
  <c r="P25" i="1"/>
  <c r="Q25" i="1"/>
  <c r="R25" i="1"/>
  <c r="S25" i="1"/>
  <c r="T25" i="1"/>
  <c r="U25" i="1"/>
  <c r="V25" i="1"/>
  <c r="W25" i="1"/>
  <c r="X25" i="1"/>
  <c r="Y25" i="1"/>
  <c r="M67" i="2" l="1"/>
  <c r="L67" i="2"/>
  <c r="K67" i="2"/>
  <c r="J67" i="2"/>
  <c r="I67" i="2"/>
  <c r="H67" i="2"/>
  <c r="G67" i="2"/>
  <c r="F67" i="2"/>
  <c r="E67" i="2"/>
  <c r="D67" i="2"/>
  <c r="C67" i="2"/>
  <c r="B67" i="2"/>
  <c r="M65" i="1"/>
  <c r="L65" i="1"/>
  <c r="K65" i="1"/>
  <c r="J65" i="1"/>
  <c r="I65" i="1"/>
  <c r="H65" i="1"/>
  <c r="G65" i="1"/>
  <c r="F65" i="1"/>
  <c r="E65" i="1"/>
  <c r="D65" i="1"/>
  <c r="C65" i="1"/>
  <c r="B65" i="1"/>
  <c r="I25" i="3" l="1"/>
  <c r="H25" i="3"/>
  <c r="G25" i="3"/>
  <c r="F25" i="3"/>
  <c r="E25" i="3"/>
  <c r="D25" i="3"/>
  <c r="C25" i="3"/>
  <c r="B25" i="3"/>
  <c r="M25" i="2"/>
  <c r="L25" i="2"/>
  <c r="K25" i="2"/>
  <c r="J25" i="2"/>
  <c r="I25" i="2"/>
  <c r="H25" i="2"/>
  <c r="G25" i="2"/>
  <c r="F25" i="2"/>
  <c r="E25" i="2"/>
  <c r="D25" i="2"/>
  <c r="C25" i="2"/>
  <c r="B25" i="2"/>
  <c r="C25" i="1"/>
  <c r="D25" i="1"/>
  <c r="E25" i="1"/>
  <c r="F25" i="1"/>
  <c r="G25" i="1"/>
  <c r="H25" i="1"/>
  <c r="I25" i="1"/>
  <c r="J25" i="1"/>
  <c r="K25" i="1"/>
  <c r="L25" i="1"/>
  <c r="M25" i="1"/>
  <c r="B7" i="3" l="1"/>
  <c r="B6" i="3"/>
  <c r="B25" i="1" l="1"/>
  <c r="B7" i="2" l="1"/>
  <c r="B6" i="2"/>
</calcChain>
</file>

<file path=xl/sharedStrings.xml><?xml version="1.0" encoding="utf-8"?>
<sst xmlns="http://schemas.openxmlformats.org/spreadsheetml/2006/main" count="452" uniqueCount="23">
  <si>
    <t>Männer</t>
  </si>
  <si>
    <t>Summe</t>
  </si>
  <si>
    <t>60-75J.</t>
  </si>
  <si>
    <t>75+J.</t>
  </si>
  <si>
    <t>Segment</t>
  </si>
  <si>
    <t>Ohne Einschränkung</t>
  </si>
  <si>
    <t>MB012</t>
  </si>
  <si>
    <t>MB024</t>
  </si>
  <si>
    <t>MB012_P</t>
  </si>
  <si>
    <t>MB024_P</t>
  </si>
  <si>
    <t>SR MB024_P</t>
  </si>
  <si>
    <t>SR MB024</t>
  </si>
  <si>
    <t>Kunde:</t>
  </si>
  <si>
    <t>Auftrag:</t>
  </si>
  <si>
    <t>Datum:</t>
  </si>
  <si>
    <t>Nutrisana Care GmbH</t>
  </si>
  <si>
    <t>Echtalter</t>
  </si>
  <si>
    <t>Frauen</t>
  </si>
  <si>
    <t>Üfrei zu den genannten Lieferungen</t>
  </si>
  <si>
    <t>Üfrei zu den gennaten Lieferungen</t>
  </si>
  <si>
    <t xml:space="preserve">Üfrei zu den genannten Lieferungen Echtalter </t>
  </si>
  <si>
    <t>Üfrei zu den gennaten Lieferungen Echtalter</t>
  </si>
  <si>
    <t>Üfrei zu den genannten Lieferungen Echtalter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</si>
</sst>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75482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28282" cy="630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75482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6B1182B8-CA50-4D2A-A442-781531558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23482" cy="630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Y82"/>
  <sheetViews>
    <sheetView tabSelected="1" zoomScale="85" zoomScaleNormal="85" workbookViewId="0">
      <selection activeCell="D7" sqref="A1:D7"/>
    </sheetView>
  </sheetViews>
  <sheetFormatPr baseColWidth="10" defaultRowHeight="15" x14ac:dyDescent="0.25"/>
  <cols>
    <col min="1" max="1" width="34.7109375" bestFit="1" customWidth="1"/>
  </cols>
  <sheetData>
    <row r="5" spans="1:25" x14ac:dyDescent="0.25">
      <c r="A5" s="2"/>
    </row>
    <row r="6" spans="1:25" x14ac:dyDescent="0.25">
      <c r="A6" s="2"/>
    </row>
    <row r="7" spans="1:25" x14ac:dyDescent="0.25">
      <c r="A7" s="2"/>
      <c r="B7" s="3"/>
      <c r="C7" s="3"/>
    </row>
    <row r="10" spans="1:25" x14ac:dyDescent="0.25">
      <c r="A10" s="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2" spans="1:25" x14ac:dyDescent="0.25">
      <c r="B12" t="s">
        <v>0</v>
      </c>
      <c r="N12" t="s">
        <v>17</v>
      </c>
    </row>
    <row r="13" spans="1:25" x14ac:dyDescent="0.25">
      <c r="B13" t="s">
        <v>8</v>
      </c>
      <c r="D13" t="s">
        <v>6</v>
      </c>
      <c r="F13" t="s">
        <v>9</v>
      </c>
      <c r="H13" t="s">
        <v>7</v>
      </c>
      <c r="J13" t="s">
        <v>10</v>
      </c>
      <c r="L13" t="s">
        <v>11</v>
      </c>
      <c r="N13" t="s">
        <v>8</v>
      </c>
      <c r="P13" t="s">
        <v>6</v>
      </c>
      <c r="R13" t="s">
        <v>9</v>
      </c>
      <c r="T13" t="s">
        <v>7</v>
      </c>
      <c r="V13" t="s">
        <v>10</v>
      </c>
      <c r="X13" t="s">
        <v>11</v>
      </c>
    </row>
    <row r="14" spans="1:25" x14ac:dyDescent="0.25">
      <c r="A14" t="s">
        <v>4</v>
      </c>
      <c r="B14" t="s">
        <v>2</v>
      </c>
      <c r="C14" t="s">
        <v>3</v>
      </c>
      <c r="D14" t="s">
        <v>2</v>
      </c>
      <c r="E14" t="s">
        <v>3</v>
      </c>
      <c r="F14" t="s">
        <v>2</v>
      </c>
      <c r="G14" t="s">
        <v>3</v>
      </c>
      <c r="H14" t="s">
        <v>2</v>
      </c>
      <c r="I14" t="s">
        <v>3</v>
      </c>
      <c r="J14" t="s">
        <v>2</v>
      </c>
      <c r="K14" t="s">
        <v>3</v>
      </c>
      <c r="L14" t="s">
        <v>2</v>
      </c>
      <c r="M14" t="s">
        <v>3</v>
      </c>
      <c r="N14" t="s">
        <v>2</v>
      </c>
      <c r="O14" t="s">
        <v>3</v>
      </c>
      <c r="P14" t="s">
        <v>2</v>
      </c>
      <c r="Q14" t="s">
        <v>3</v>
      </c>
      <c r="R14" t="s">
        <v>2</v>
      </c>
      <c r="S14" t="s">
        <v>3</v>
      </c>
      <c r="T14" t="s">
        <v>2</v>
      </c>
      <c r="U14" t="s">
        <v>3</v>
      </c>
      <c r="V14" t="s">
        <v>2</v>
      </c>
      <c r="W14" t="s">
        <v>3</v>
      </c>
      <c r="X14" t="s">
        <v>2</v>
      </c>
      <c r="Y14" t="s">
        <v>3</v>
      </c>
    </row>
    <row r="15" spans="1:25" x14ac:dyDescent="0.25">
      <c r="A15">
        <v>1</v>
      </c>
      <c r="B15">
        <v>745</v>
      </c>
      <c r="C15">
        <v>4105</v>
      </c>
      <c r="D15">
        <v>798</v>
      </c>
      <c r="E15">
        <v>4384</v>
      </c>
      <c r="F15">
        <v>807</v>
      </c>
      <c r="G15">
        <v>4464</v>
      </c>
      <c r="H15">
        <v>874</v>
      </c>
      <c r="I15">
        <v>4782</v>
      </c>
      <c r="J15">
        <v>149</v>
      </c>
      <c r="K15">
        <v>628</v>
      </c>
      <c r="L15">
        <v>82</v>
      </c>
      <c r="M15">
        <v>310</v>
      </c>
      <c r="N15">
        <v>288</v>
      </c>
      <c r="O15">
        <v>2193</v>
      </c>
      <c r="P15">
        <v>335</v>
      </c>
      <c r="Q15">
        <v>2387</v>
      </c>
      <c r="R15">
        <v>311</v>
      </c>
      <c r="S15">
        <v>2357</v>
      </c>
      <c r="T15">
        <v>363</v>
      </c>
      <c r="U15">
        <v>2591</v>
      </c>
      <c r="V15">
        <v>94</v>
      </c>
      <c r="W15">
        <v>414</v>
      </c>
      <c r="X15">
        <v>42</v>
      </c>
      <c r="Y15">
        <v>180</v>
      </c>
    </row>
    <row r="16" spans="1:25" x14ac:dyDescent="0.25">
      <c r="A16">
        <v>2</v>
      </c>
      <c r="B16">
        <v>869</v>
      </c>
      <c r="C16">
        <v>4768</v>
      </c>
      <c r="D16">
        <v>1001</v>
      </c>
      <c r="E16">
        <v>5289</v>
      </c>
      <c r="F16">
        <v>937</v>
      </c>
      <c r="G16">
        <v>5233</v>
      </c>
      <c r="H16">
        <v>1090</v>
      </c>
      <c r="I16">
        <v>5827</v>
      </c>
      <c r="J16">
        <v>298</v>
      </c>
      <c r="K16">
        <v>1178</v>
      </c>
      <c r="L16">
        <v>145</v>
      </c>
      <c r="M16">
        <v>584</v>
      </c>
      <c r="N16">
        <v>514</v>
      </c>
      <c r="O16">
        <v>3473</v>
      </c>
      <c r="P16">
        <v>660</v>
      </c>
      <c r="Q16">
        <v>3998</v>
      </c>
      <c r="R16">
        <v>551</v>
      </c>
      <c r="S16">
        <v>3776</v>
      </c>
      <c r="T16">
        <v>716</v>
      </c>
      <c r="U16">
        <v>4379</v>
      </c>
      <c r="V16">
        <v>269</v>
      </c>
      <c r="W16">
        <v>941</v>
      </c>
      <c r="X16">
        <v>104</v>
      </c>
      <c r="Y16">
        <v>338</v>
      </c>
    </row>
    <row r="17" spans="1:25" x14ac:dyDescent="0.25">
      <c r="A17">
        <v>3</v>
      </c>
      <c r="B17">
        <v>1330</v>
      </c>
      <c r="C17">
        <v>6921</v>
      </c>
      <c r="D17">
        <v>1632</v>
      </c>
      <c r="E17">
        <v>8191</v>
      </c>
      <c r="F17">
        <v>1453</v>
      </c>
      <c r="G17">
        <v>7576</v>
      </c>
      <c r="H17">
        <v>1798</v>
      </c>
      <c r="I17">
        <v>9076</v>
      </c>
      <c r="J17">
        <v>702</v>
      </c>
      <c r="K17">
        <v>2693</v>
      </c>
      <c r="L17">
        <v>357</v>
      </c>
      <c r="M17">
        <v>1193</v>
      </c>
      <c r="N17">
        <v>947</v>
      </c>
      <c r="O17">
        <v>5701</v>
      </c>
      <c r="P17">
        <v>1370</v>
      </c>
      <c r="Q17">
        <v>6958</v>
      </c>
      <c r="R17">
        <v>1033</v>
      </c>
      <c r="S17">
        <v>6181</v>
      </c>
      <c r="T17">
        <v>1497</v>
      </c>
      <c r="U17">
        <v>7645</v>
      </c>
      <c r="V17">
        <v>720</v>
      </c>
      <c r="W17">
        <v>2300</v>
      </c>
      <c r="X17">
        <v>256</v>
      </c>
      <c r="Y17">
        <v>836</v>
      </c>
    </row>
    <row r="18" spans="1:25" x14ac:dyDescent="0.25">
      <c r="A18">
        <v>4</v>
      </c>
      <c r="B18">
        <v>2771</v>
      </c>
      <c r="C18">
        <v>11901</v>
      </c>
      <c r="D18">
        <v>3770</v>
      </c>
      <c r="E18">
        <v>15441</v>
      </c>
      <c r="F18">
        <v>3058</v>
      </c>
      <c r="G18">
        <v>13226</v>
      </c>
      <c r="H18">
        <v>4246</v>
      </c>
      <c r="I18">
        <v>17294</v>
      </c>
      <c r="J18">
        <v>2404</v>
      </c>
      <c r="K18">
        <v>7146</v>
      </c>
      <c r="L18">
        <v>1216</v>
      </c>
      <c r="M18">
        <v>3078</v>
      </c>
      <c r="N18">
        <v>2275</v>
      </c>
      <c r="O18">
        <v>10658</v>
      </c>
      <c r="P18">
        <v>3684</v>
      </c>
      <c r="Q18">
        <v>14545</v>
      </c>
      <c r="R18">
        <v>2464</v>
      </c>
      <c r="S18">
        <v>11689</v>
      </c>
      <c r="T18">
        <v>4064</v>
      </c>
      <c r="U18">
        <v>16187</v>
      </c>
      <c r="V18">
        <v>2588</v>
      </c>
      <c r="W18">
        <v>7109</v>
      </c>
      <c r="X18">
        <v>988</v>
      </c>
      <c r="Y18">
        <v>2611</v>
      </c>
    </row>
    <row r="19" spans="1:25" x14ac:dyDescent="0.25">
      <c r="A19">
        <v>5</v>
      </c>
      <c r="B19">
        <v>7349</v>
      </c>
      <c r="C19">
        <v>26659</v>
      </c>
      <c r="D19">
        <v>11909</v>
      </c>
      <c r="E19">
        <v>41585</v>
      </c>
      <c r="F19">
        <v>8091</v>
      </c>
      <c r="G19">
        <v>29648</v>
      </c>
      <c r="H19">
        <v>13313</v>
      </c>
      <c r="I19">
        <v>46747</v>
      </c>
      <c r="J19">
        <v>9656</v>
      </c>
      <c r="K19">
        <v>29727</v>
      </c>
      <c r="L19">
        <v>4434</v>
      </c>
      <c r="M19">
        <v>12628</v>
      </c>
      <c r="N19">
        <v>7937</v>
      </c>
      <c r="O19">
        <v>26614</v>
      </c>
      <c r="P19">
        <v>14785</v>
      </c>
      <c r="Q19">
        <v>44848</v>
      </c>
      <c r="R19">
        <v>8738</v>
      </c>
      <c r="S19">
        <v>29214</v>
      </c>
      <c r="T19">
        <v>16599</v>
      </c>
      <c r="U19">
        <v>50222</v>
      </c>
      <c r="V19">
        <v>13675</v>
      </c>
      <c r="W19">
        <v>33588</v>
      </c>
      <c r="X19">
        <v>5814</v>
      </c>
      <c r="Y19">
        <v>12580</v>
      </c>
    </row>
    <row r="20" spans="1:25" x14ac:dyDescent="0.25">
      <c r="A20">
        <v>6</v>
      </c>
      <c r="B20">
        <v>15421</v>
      </c>
      <c r="C20">
        <v>34132</v>
      </c>
      <c r="D20">
        <v>33357</v>
      </c>
      <c r="E20">
        <v>72341</v>
      </c>
      <c r="F20">
        <v>17412</v>
      </c>
      <c r="G20">
        <v>38345</v>
      </c>
      <c r="H20">
        <v>38202</v>
      </c>
      <c r="I20">
        <v>81947</v>
      </c>
      <c r="J20">
        <v>42689</v>
      </c>
      <c r="K20">
        <v>82870</v>
      </c>
      <c r="L20">
        <v>21899</v>
      </c>
      <c r="M20">
        <v>39268</v>
      </c>
      <c r="N20">
        <v>18277</v>
      </c>
      <c r="O20">
        <v>36658</v>
      </c>
      <c r="P20">
        <v>45781</v>
      </c>
      <c r="Q20">
        <v>86409</v>
      </c>
      <c r="R20">
        <v>20557</v>
      </c>
      <c r="S20">
        <v>40945</v>
      </c>
      <c r="T20">
        <v>52495</v>
      </c>
      <c r="U20">
        <v>97931</v>
      </c>
      <c r="V20">
        <v>61844</v>
      </c>
      <c r="W20">
        <v>98024</v>
      </c>
      <c r="X20">
        <v>29906</v>
      </c>
      <c r="Y20">
        <v>41038</v>
      </c>
    </row>
    <row r="21" spans="1:25" x14ac:dyDescent="0.25">
      <c r="A21">
        <v>7</v>
      </c>
      <c r="B21">
        <v>15420</v>
      </c>
      <c r="C21">
        <v>24929</v>
      </c>
      <c r="D21">
        <v>34642</v>
      </c>
      <c r="E21">
        <v>57183</v>
      </c>
      <c r="F21">
        <v>17116</v>
      </c>
      <c r="G21">
        <v>27761</v>
      </c>
      <c r="H21">
        <v>39808</v>
      </c>
      <c r="I21">
        <v>65136</v>
      </c>
      <c r="J21">
        <v>53312</v>
      </c>
      <c r="K21">
        <v>81743</v>
      </c>
      <c r="L21">
        <v>30620</v>
      </c>
      <c r="M21">
        <v>44368</v>
      </c>
      <c r="N21">
        <v>11304</v>
      </c>
      <c r="O21">
        <v>17307</v>
      </c>
      <c r="P21">
        <v>34690</v>
      </c>
      <c r="Q21">
        <v>52405</v>
      </c>
      <c r="R21">
        <v>12625</v>
      </c>
      <c r="S21">
        <v>19052</v>
      </c>
      <c r="T21">
        <v>39617</v>
      </c>
      <c r="U21">
        <v>59187</v>
      </c>
      <c r="V21">
        <v>58623</v>
      </c>
      <c r="W21">
        <v>74578</v>
      </c>
      <c r="X21">
        <v>31631</v>
      </c>
      <c r="Y21">
        <v>34443</v>
      </c>
    </row>
    <row r="22" spans="1:25" x14ac:dyDescent="0.25">
      <c r="A22">
        <v>8</v>
      </c>
      <c r="B22">
        <v>5383</v>
      </c>
      <c r="C22">
        <v>4604</v>
      </c>
      <c r="D22">
        <v>16714</v>
      </c>
      <c r="E22">
        <v>16267</v>
      </c>
      <c r="F22">
        <v>6031</v>
      </c>
      <c r="G22">
        <v>5099</v>
      </c>
      <c r="H22">
        <v>19405</v>
      </c>
      <c r="I22">
        <v>18649</v>
      </c>
      <c r="J22">
        <v>35926</v>
      </c>
      <c r="K22">
        <v>35751</v>
      </c>
      <c r="L22">
        <v>22552</v>
      </c>
      <c r="M22">
        <v>22201</v>
      </c>
      <c r="N22">
        <v>3044</v>
      </c>
      <c r="O22">
        <v>3154</v>
      </c>
      <c r="P22">
        <v>13966</v>
      </c>
      <c r="Q22">
        <v>14871</v>
      </c>
      <c r="R22">
        <v>3585</v>
      </c>
      <c r="S22">
        <v>3546</v>
      </c>
      <c r="T22">
        <v>16433</v>
      </c>
      <c r="U22">
        <v>17125</v>
      </c>
      <c r="V22">
        <v>32236</v>
      </c>
      <c r="W22">
        <v>29190</v>
      </c>
      <c r="X22">
        <v>19388</v>
      </c>
      <c r="Y22">
        <v>15611</v>
      </c>
    </row>
    <row r="23" spans="1:25" x14ac:dyDescent="0.25">
      <c r="A23">
        <v>9</v>
      </c>
      <c r="B23">
        <v>4813</v>
      </c>
      <c r="C23">
        <v>7086</v>
      </c>
      <c r="D23">
        <v>18272</v>
      </c>
      <c r="E23">
        <v>28361</v>
      </c>
      <c r="F23">
        <v>5361</v>
      </c>
      <c r="G23">
        <v>7963</v>
      </c>
      <c r="H23">
        <v>21037</v>
      </c>
      <c r="I23">
        <v>32454</v>
      </c>
      <c r="J23">
        <v>34251</v>
      </c>
      <c r="K23">
        <v>50546</v>
      </c>
      <c r="L23">
        <v>18575</v>
      </c>
      <c r="M23">
        <v>26055</v>
      </c>
      <c r="N23">
        <v>8546</v>
      </c>
      <c r="O23">
        <v>9308</v>
      </c>
      <c r="P23">
        <v>30301</v>
      </c>
      <c r="Q23">
        <v>37812</v>
      </c>
      <c r="R23">
        <v>9694</v>
      </c>
      <c r="S23">
        <v>10402</v>
      </c>
      <c r="T23">
        <v>34917</v>
      </c>
      <c r="U23">
        <v>42966</v>
      </c>
      <c r="V23">
        <v>54113</v>
      </c>
      <c r="W23">
        <v>63298</v>
      </c>
      <c r="X23">
        <v>28890</v>
      </c>
      <c r="Y23">
        <v>30734</v>
      </c>
    </row>
    <row r="24" spans="1:25" x14ac:dyDescent="0.25">
      <c r="A24">
        <v>10</v>
      </c>
      <c r="B24">
        <v>2500</v>
      </c>
      <c r="C24">
        <v>2868</v>
      </c>
      <c r="D24">
        <v>13363</v>
      </c>
      <c r="E24">
        <v>13618</v>
      </c>
      <c r="F24">
        <v>2795</v>
      </c>
      <c r="G24">
        <v>3187</v>
      </c>
      <c r="H24">
        <v>15022</v>
      </c>
      <c r="I24">
        <v>15245</v>
      </c>
      <c r="J24">
        <v>28949</v>
      </c>
      <c r="K24">
        <v>25702</v>
      </c>
      <c r="L24">
        <v>16722</v>
      </c>
      <c r="M24">
        <v>13644</v>
      </c>
      <c r="N24">
        <v>14113</v>
      </c>
      <c r="O24">
        <v>7279</v>
      </c>
      <c r="P24">
        <v>40675</v>
      </c>
      <c r="Q24">
        <v>20751</v>
      </c>
      <c r="R24">
        <v>15809</v>
      </c>
      <c r="S24">
        <v>8091</v>
      </c>
      <c r="T24">
        <v>46656</v>
      </c>
      <c r="U24">
        <v>23601</v>
      </c>
      <c r="V24">
        <v>55126</v>
      </c>
      <c r="W24">
        <v>30231</v>
      </c>
      <c r="X24">
        <v>24279</v>
      </c>
      <c r="Y24">
        <v>14721</v>
      </c>
    </row>
    <row r="25" spans="1:25" x14ac:dyDescent="0.25">
      <c r="A25" t="s">
        <v>1</v>
      </c>
      <c r="B25">
        <f>SUM(B15:B24)</f>
        <v>56601</v>
      </c>
      <c r="C25">
        <f t="shared" ref="C25:Y25" si="0">SUM(C15:C24)</f>
        <v>127973</v>
      </c>
      <c r="D25">
        <f t="shared" si="0"/>
        <v>135458</v>
      </c>
      <c r="E25">
        <f t="shared" si="0"/>
        <v>262660</v>
      </c>
      <c r="F25">
        <f t="shared" si="0"/>
        <v>63061</v>
      </c>
      <c r="G25">
        <f t="shared" si="0"/>
        <v>142502</v>
      </c>
      <c r="H25">
        <f t="shared" si="0"/>
        <v>154795</v>
      </c>
      <c r="I25">
        <f t="shared" si="0"/>
        <v>297157</v>
      </c>
      <c r="J25">
        <f t="shared" si="0"/>
        <v>208336</v>
      </c>
      <c r="K25">
        <f t="shared" si="0"/>
        <v>317984</v>
      </c>
      <c r="L25">
        <f t="shared" si="0"/>
        <v>116602</v>
      </c>
      <c r="M25">
        <f t="shared" si="0"/>
        <v>163329</v>
      </c>
      <c r="N25">
        <f t="shared" si="0"/>
        <v>67245</v>
      </c>
      <c r="O25">
        <f t="shared" si="0"/>
        <v>122345</v>
      </c>
      <c r="P25">
        <f t="shared" si="0"/>
        <v>186247</v>
      </c>
      <c r="Q25">
        <f t="shared" si="0"/>
        <v>284984</v>
      </c>
      <c r="R25">
        <f t="shared" si="0"/>
        <v>75367</v>
      </c>
      <c r="S25">
        <f t="shared" si="0"/>
        <v>135253</v>
      </c>
      <c r="T25">
        <f t="shared" si="0"/>
        <v>213357</v>
      </c>
      <c r="U25">
        <f t="shared" si="0"/>
        <v>321834</v>
      </c>
      <c r="V25">
        <f t="shared" si="0"/>
        <v>279288</v>
      </c>
      <c r="W25">
        <f t="shared" si="0"/>
        <v>339673</v>
      </c>
      <c r="X25">
        <f t="shared" si="0"/>
        <v>141298</v>
      </c>
      <c r="Y25">
        <f t="shared" si="0"/>
        <v>153092</v>
      </c>
    </row>
    <row r="28" spans="1:25" x14ac:dyDescent="0.25">
      <c r="A28" s="1" t="s">
        <v>18</v>
      </c>
    </row>
    <row r="29" spans="1:25" x14ac:dyDescent="0.25">
      <c r="A29" s="1"/>
    </row>
    <row r="30" spans="1:25" x14ac:dyDescent="0.25">
      <c r="B30" t="s">
        <v>0</v>
      </c>
      <c r="N30" t="s">
        <v>17</v>
      </c>
    </row>
    <row r="31" spans="1:25" x14ac:dyDescent="0.25">
      <c r="B31" t="s">
        <v>8</v>
      </c>
      <c r="D31" t="s">
        <v>6</v>
      </c>
      <c r="F31" t="s">
        <v>9</v>
      </c>
      <c r="H31" t="s">
        <v>7</v>
      </c>
      <c r="J31" t="s">
        <v>10</v>
      </c>
      <c r="L31" t="s">
        <v>11</v>
      </c>
      <c r="N31" t="s">
        <v>8</v>
      </c>
      <c r="P31" t="s">
        <v>6</v>
      </c>
      <c r="R31" t="s">
        <v>9</v>
      </c>
      <c r="T31" t="s">
        <v>7</v>
      </c>
      <c r="V31" t="s">
        <v>10</v>
      </c>
      <c r="X31" t="s">
        <v>11</v>
      </c>
    </row>
    <row r="32" spans="1:25" x14ac:dyDescent="0.25">
      <c r="A32" t="s">
        <v>4</v>
      </c>
      <c r="B32" t="s">
        <v>2</v>
      </c>
      <c r="C32" t="s">
        <v>3</v>
      </c>
      <c r="D32" t="s">
        <v>2</v>
      </c>
      <c r="E32" t="s">
        <v>3</v>
      </c>
      <c r="F32" t="s">
        <v>2</v>
      </c>
      <c r="G32" t="s">
        <v>3</v>
      </c>
      <c r="H32" t="s">
        <v>2</v>
      </c>
      <c r="I32" t="s">
        <v>3</v>
      </c>
      <c r="J32" t="s">
        <v>2</v>
      </c>
      <c r="K32" t="s">
        <v>3</v>
      </c>
      <c r="L32" t="s">
        <v>2</v>
      </c>
      <c r="M32" t="s">
        <v>3</v>
      </c>
      <c r="N32" t="s">
        <v>2</v>
      </c>
      <c r="O32" t="s">
        <v>3</v>
      </c>
      <c r="P32" t="s">
        <v>2</v>
      </c>
      <c r="Q32" t="s">
        <v>3</v>
      </c>
      <c r="R32" t="s">
        <v>2</v>
      </c>
      <c r="S32" t="s">
        <v>3</v>
      </c>
      <c r="T32" t="s">
        <v>2</v>
      </c>
      <c r="U32" t="s">
        <v>3</v>
      </c>
      <c r="V32" t="s">
        <v>2</v>
      </c>
      <c r="W32" t="s">
        <v>3</v>
      </c>
      <c r="X32" t="s">
        <v>2</v>
      </c>
      <c r="Y32" t="s">
        <v>3</v>
      </c>
    </row>
    <row r="33" spans="1:25" x14ac:dyDescent="0.25">
      <c r="A33">
        <v>1</v>
      </c>
      <c r="B33">
        <v>467</v>
      </c>
      <c r="C33">
        <v>3525</v>
      </c>
      <c r="D33">
        <v>500</v>
      </c>
      <c r="E33">
        <v>3746</v>
      </c>
      <c r="F33">
        <v>505</v>
      </c>
      <c r="G33">
        <v>3767</v>
      </c>
      <c r="H33">
        <v>547</v>
      </c>
      <c r="I33">
        <v>4012</v>
      </c>
      <c r="J33">
        <v>106</v>
      </c>
      <c r="K33">
        <v>476</v>
      </c>
      <c r="L33">
        <v>64</v>
      </c>
      <c r="M33">
        <v>231</v>
      </c>
      <c r="N33">
        <v>160</v>
      </c>
      <c r="O33">
        <v>1607</v>
      </c>
      <c r="P33">
        <v>188</v>
      </c>
      <c r="Q33">
        <v>1762</v>
      </c>
      <c r="R33">
        <v>177</v>
      </c>
      <c r="S33">
        <v>1722</v>
      </c>
      <c r="T33">
        <v>206</v>
      </c>
      <c r="U33">
        <v>1904</v>
      </c>
      <c r="V33">
        <v>57</v>
      </c>
      <c r="W33">
        <v>322</v>
      </c>
      <c r="X33">
        <v>28</v>
      </c>
      <c r="Y33">
        <v>140</v>
      </c>
    </row>
    <row r="34" spans="1:25" x14ac:dyDescent="0.25">
      <c r="A34">
        <v>2</v>
      </c>
      <c r="B34">
        <v>552</v>
      </c>
      <c r="C34">
        <v>4094</v>
      </c>
      <c r="D34">
        <v>625</v>
      </c>
      <c r="E34">
        <v>4468</v>
      </c>
      <c r="F34">
        <v>590</v>
      </c>
      <c r="G34">
        <v>4412</v>
      </c>
      <c r="H34">
        <v>679</v>
      </c>
      <c r="I34">
        <v>4839</v>
      </c>
      <c r="J34">
        <v>199</v>
      </c>
      <c r="K34">
        <v>853</v>
      </c>
      <c r="L34">
        <v>110</v>
      </c>
      <c r="M34">
        <v>426</v>
      </c>
      <c r="N34">
        <v>283</v>
      </c>
      <c r="O34">
        <v>2564</v>
      </c>
      <c r="P34">
        <v>364</v>
      </c>
      <c r="Q34">
        <v>2962</v>
      </c>
      <c r="R34">
        <v>300</v>
      </c>
      <c r="S34">
        <v>2783</v>
      </c>
      <c r="T34">
        <v>389</v>
      </c>
      <c r="U34">
        <v>3225</v>
      </c>
      <c r="V34">
        <v>175</v>
      </c>
      <c r="W34">
        <v>715</v>
      </c>
      <c r="X34">
        <v>86</v>
      </c>
      <c r="Y34">
        <v>273</v>
      </c>
    </row>
    <row r="35" spans="1:25" x14ac:dyDescent="0.25">
      <c r="A35">
        <v>3</v>
      </c>
      <c r="B35">
        <v>832</v>
      </c>
      <c r="C35">
        <v>5946</v>
      </c>
      <c r="D35">
        <v>974</v>
      </c>
      <c r="E35">
        <v>6841</v>
      </c>
      <c r="F35">
        <v>896</v>
      </c>
      <c r="G35">
        <v>6368</v>
      </c>
      <c r="H35">
        <v>1058</v>
      </c>
      <c r="I35">
        <v>7421</v>
      </c>
      <c r="J35">
        <v>442</v>
      </c>
      <c r="K35">
        <v>1935</v>
      </c>
      <c r="L35">
        <v>280</v>
      </c>
      <c r="M35">
        <v>882</v>
      </c>
      <c r="N35">
        <v>546</v>
      </c>
      <c r="O35">
        <v>4279</v>
      </c>
      <c r="P35">
        <v>764</v>
      </c>
      <c r="Q35">
        <v>5189</v>
      </c>
      <c r="R35">
        <v>594</v>
      </c>
      <c r="S35">
        <v>4623</v>
      </c>
      <c r="T35">
        <v>831</v>
      </c>
      <c r="U35">
        <v>5668</v>
      </c>
      <c r="V35">
        <v>450</v>
      </c>
      <c r="W35">
        <v>1699</v>
      </c>
      <c r="X35">
        <v>213</v>
      </c>
      <c r="Y35">
        <v>654</v>
      </c>
    </row>
    <row r="36" spans="1:25" x14ac:dyDescent="0.25">
      <c r="A36">
        <v>4</v>
      </c>
      <c r="B36">
        <v>1730</v>
      </c>
      <c r="C36">
        <v>9911</v>
      </c>
      <c r="D36">
        <v>2250</v>
      </c>
      <c r="E36">
        <v>12317</v>
      </c>
      <c r="F36">
        <v>1877</v>
      </c>
      <c r="G36">
        <v>10783</v>
      </c>
      <c r="H36">
        <v>2479</v>
      </c>
      <c r="I36">
        <v>13537</v>
      </c>
      <c r="J36">
        <v>1574</v>
      </c>
      <c r="K36">
        <v>4996</v>
      </c>
      <c r="L36">
        <v>972</v>
      </c>
      <c r="M36">
        <v>2242</v>
      </c>
      <c r="N36">
        <v>1273</v>
      </c>
      <c r="O36">
        <v>9744</v>
      </c>
      <c r="P36">
        <v>1967</v>
      </c>
      <c r="Q36">
        <v>12516</v>
      </c>
      <c r="R36">
        <v>1361</v>
      </c>
      <c r="S36">
        <v>10534</v>
      </c>
      <c r="T36">
        <v>2134</v>
      </c>
      <c r="U36">
        <v>13719</v>
      </c>
      <c r="V36">
        <v>1521</v>
      </c>
      <c r="W36">
        <v>5218</v>
      </c>
      <c r="X36">
        <v>748</v>
      </c>
      <c r="Y36">
        <v>2033</v>
      </c>
    </row>
    <row r="37" spans="1:25" x14ac:dyDescent="0.25">
      <c r="A37">
        <v>5</v>
      </c>
      <c r="B37">
        <v>6676</v>
      </c>
      <c r="C37">
        <v>23821</v>
      </c>
      <c r="D37">
        <v>10030</v>
      </c>
      <c r="E37">
        <v>34028</v>
      </c>
      <c r="F37">
        <v>7296</v>
      </c>
      <c r="G37">
        <v>25842</v>
      </c>
      <c r="H37">
        <v>11128</v>
      </c>
      <c r="I37">
        <v>37448</v>
      </c>
      <c r="J37">
        <v>7334</v>
      </c>
      <c r="K37">
        <v>20605</v>
      </c>
      <c r="L37">
        <v>3502</v>
      </c>
      <c r="M37">
        <v>8999</v>
      </c>
      <c r="N37">
        <v>7319</v>
      </c>
      <c r="O37">
        <v>23876</v>
      </c>
      <c r="P37">
        <v>12472</v>
      </c>
      <c r="Q37">
        <v>36911</v>
      </c>
      <c r="R37">
        <v>8019</v>
      </c>
      <c r="S37">
        <v>25812</v>
      </c>
      <c r="T37">
        <v>13974</v>
      </c>
      <c r="U37">
        <v>40761</v>
      </c>
      <c r="V37">
        <v>10635</v>
      </c>
      <c r="W37">
        <v>24334</v>
      </c>
      <c r="X37">
        <v>4680</v>
      </c>
      <c r="Y37">
        <v>9385</v>
      </c>
    </row>
    <row r="38" spans="1:25" x14ac:dyDescent="0.25">
      <c r="A38">
        <v>6</v>
      </c>
      <c r="B38">
        <v>13463</v>
      </c>
      <c r="C38">
        <v>28885</v>
      </c>
      <c r="D38">
        <v>25967</v>
      </c>
      <c r="E38">
        <v>53363</v>
      </c>
      <c r="F38">
        <v>15043</v>
      </c>
      <c r="G38">
        <v>31594</v>
      </c>
      <c r="H38">
        <v>29742</v>
      </c>
      <c r="I38">
        <v>59428</v>
      </c>
      <c r="J38">
        <v>31088</v>
      </c>
      <c r="K38">
        <v>53615</v>
      </c>
      <c r="L38">
        <v>16389</v>
      </c>
      <c r="M38">
        <v>25781</v>
      </c>
      <c r="N38">
        <v>16265</v>
      </c>
      <c r="O38">
        <v>31874</v>
      </c>
      <c r="P38">
        <v>36253</v>
      </c>
      <c r="Q38">
        <v>65001</v>
      </c>
      <c r="R38">
        <v>18179</v>
      </c>
      <c r="S38">
        <v>35054</v>
      </c>
      <c r="T38">
        <v>41712</v>
      </c>
      <c r="U38">
        <v>73027</v>
      </c>
      <c r="V38">
        <v>46049</v>
      </c>
      <c r="W38">
        <v>65316</v>
      </c>
      <c r="X38">
        <v>22516</v>
      </c>
      <c r="Y38">
        <v>27343</v>
      </c>
    </row>
    <row r="39" spans="1:25" x14ac:dyDescent="0.25">
      <c r="A39">
        <v>7</v>
      </c>
      <c r="B39">
        <v>13141</v>
      </c>
      <c r="C39">
        <v>20706</v>
      </c>
      <c r="D39">
        <v>27034</v>
      </c>
      <c r="E39">
        <v>42444</v>
      </c>
      <c r="F39">
        <v>14458</v>
      </c>
      <c r="G39">
        <v>22636</v>
      </c>
      <c r="H39">
        <v>30956</v>
      </c>
      <c r="I39">
        <v>47646</v>
      </c>
      <c r="J39">
        <v>38968</v>
      </c>
      <c r="K39">
        <v>54029</v>
      </c>
      <c r="L39">
        <v>22470</v>
      </c>
      <c r="M39">
        <v>29019</v>
      </c>
      <c r="N39">
        <v>9970</v>
      </c>
      <c r="O39">
        <v>15081</v>
      </c>
      <c r="P39">
        <v>26901</v>
      </c>
      <c r="Q39">
        <v>39131</v>
      </c>
      <c r="R39">
        <v>11087</v>
      </c>
      <c r="S39">
        <v>16420</v>
      </c>
      <c r="T39">
        <v>30792</v>
      </c>
      <c r="U39">
        <v>43893</v>
      </c>
      <c r="V39">
        <v>42774</v>
      </c>
      <c r="W39">
        <v>49836</v>
      </c>
      <c r="X39">
        <v>23069</v>
      </c>
      <c r="Y39">
        <v>22363</v>
      </c>
    </row>
    <row r="40" spans="1:25" x14ac:dyDescent="0.25">
      <c r="A40">
        <v>8</v>
      </c>
      <c r="B40">
        <v>4546</v>
      </c>
      <c r="C40">
        <v>3689</v>
      </c>
      <c r="D40">
        <v>12388</v>
      </c>
      <c r="E40">
        <v>11069</v>
      </c>
      <c r="F40">
        <v>5077</v>
      </c>
      <c r="G40">
        <v>4044</v>
      </c>
      <c r="H40">
        <v>14483</v>
      </c>
      <c r="I40">
        <v>12705</v>
      </c>
      <c r="J40">
        <v>24737</v>
      </c>
      <c r="K40">
        <v>22202</v>
      </c>
      <c r="L40">
        <v>15331</v>
      </c>
      <c r="M40">
        <v>13541</v>
      </c>
      <c r="N40">
        <v>2570</v>
      </c>
      <c r="O40">
        <v>2529</v>
      </c>
      <c r="P40">
        <v>10124</v>
      </c>
      <c r="Q40">
        <v>9768</v>
      </c>
      <c r="R40">
        <v>3024</v>
      </c>
      <c r="S40">
        <v>2809</v>
      </c>
      <c r="T40">
        <v>12054</v>
      </c>
      <c r="U40">
        <v>11304</v>
      </c>
      <c r="V40">
        <v>22097</v>
      </c>
      <c r="W40">
        <v>17361</v>
      </c>
      <c r="X40">
        <v>13067</v>
      </c>
      <c r="Y40">
        <v>8866</v>
      </c>
    </row>
    <row r="41" spans="1:25" x14ac:dyDescent="0.25">
      <c r="A41">
        <v>9</v>
      </c>
      <c r="B41">
        <v>4196</v>
      </c>
      <c r="C41">
        <v>6045</v>
      </c>
      <c r="D41">
        <v>13156</v>
      </c>
      <c r="E41">
        <v>18681</v>
      </c>
      <c r="F41">
        <v>4639</v>
      </c>
      <c r="G41">
        <v>6649</v>
      </c>
      <c r="H41">
        <v>15229</v>
      </c>
      <c r="I41">
        <v>21147</v>
      </c>
      <c r="J41">
        <v>23296</v>
      </c>
      <c r="K41">
        <v>29445</v>
      </c>
      <c r="L41">
        <v>12706</v>
      </c>
      <c r="M41">
        <v>14947</v>
      </c>
      <c r="N41">
        <v>7638</v>
      </c>
      <c r="O41">
        <v>8232</v>
      </c>
      <c r="P41">
        <v>22779</v>
      </c>
      <c r="Q41">
        <v>26073</v>
      </c>
      <c r="R41">
        <v>8650</v>
      </c>
      <c r="S41">
        <v>9116</v>
      </c>
      <c r="T41">
        <v>26388</v>
      </c>
      <c r="U41">
        <v>29543</v>
      </c>
      <c r="V41">
        <v>37836</v>
      </c>
      <c r="W41">
        <v>38585</v>
      </c>
      <c r="X41">
        <v>20098</v>
      </c>
      <c r="Y41">
        <v>18158</v>
      </c>
    </row>
    <row r="42" spans="1:25" x14ac:dyDescent="0.25">
      <c r="A42">
        <v>10</v>
      </c>
      <c r="B42">
        <v>2201</v>
      </c>
      <c r="C42">
        <v>2418</v>
      </c>
      <c r="D42">
        <v>10413</v>
      </c>
      <c r="E42">
        <v>9354</v>
      </c>
      <c r="F42">
        <v>2457</v>
      </c>
      <c r="G42">
        <v>2644</v>
      </c>
      <c r="H42">
        <v>11721</v>
      </c>
      <c r="I42">
        <v>10384</v>
      </c>
      <c r="J42">
        <v>21846</v>
      </c>
      <c r="K42">
        <v>16046</v>
      </c>
      <c r="L42">
        <v>12582</v>
      </c>
      <c r="M42">
        <v>8306</v>
      </c>
      <c r="N42">
        <v>12741</v>
      </c>
      <c r="O42">
        <v>6500</v>
      </c>
      <c r="P42">
        <v>32496</v>
      </c>
      <c r="Q42">
        <v>14744</v>
      </c>
      <c r="R42">
        <v>14272</v>
      </c>
      <c r="S42">
        <v>7187</v>
      </c>
      <c r="T42">
        <v>37404</v>
      </c>
      <c r="U42">
        <v>16786</v>
      </c>
      <c r="V42">
        <v>41107</v>
      </c>
      <c r="W42">
        <v>18470</v>
      </c>
      <c r="X42">
        <v>17975</v>
      </c>
      <c r="Y42">
        <v>8871</v>
      </c>
    </row>
    <row r="43" spans="1:25" x14ac:dyDescent="0.25">
      <c r="A43" t="s">
        <v>1</v>
      </c>
      <c r="B43">
        <f>SUM(B33:B42)</f>
        <v>47804</v>
      </c>
      <c r="C43">
        <f t="shared" ref="C43:Y43" si="1">SUM(C33:C42)</f>
        <v>109040</v>
      </c>
      <c r="D43">
        <f t="shared" si="1"/>
        <v>103337</v>
      </c>
      <c r="E43">
        <f t="shared" si="1"/>
        <v>196311</v>
      </c>
      <c r="F43">
        <f t="shared" si="1"/>
        <v>52838</v>
      </c>
      <c r="G43">
        <f t="shared" si="1"/>
        <v>118739</v>
      </c>
      <c r="H43">
        <f t="shared" si="1"/>
        <v>118022</v>
      </c>
      <c r="I43">
        <f t="shared" si="1"/>
        <v>218567</v>
      </c>
      <c r="J43">
        <f t="shared" si="1"/>
        <v>149590</v>
      </c>
      <c r="K43">
        <f t="shared" si="1"/>
        <v>204202</v>
      </c>
      <c r="L43">
        <f t="shared" si="1"/>
        <v>84406</v>
      </c>
      <c r="M43">
        <f t="shared" si="1"/>
        <v>104374</v>
      </c>
      <c r="N43">
        <f t="shared" si="1"/>
        <v>58765</v>
      </c>
      <c r="O43">
        <f t="shared" si="1"/>
        <v>106286</v>
      </c>
      <c r="P43">
        <f t="shared" si="1"/>
        <v>144308</v>
      </c>
      <c r="Q43">
        <f t="shared" si="1"/>
        <v>214057</v>
      </c>
      <c r="R43">
        <f t="shared" si="1"/>
        <v>65663</v>
      </c>
      <c r="S43">
        <f t="shared" si="1"/>
        <v>116060</v>
      </c>
      <c r="T43">
        <f t="shared" si="1"/>
        <v>165884</v>
      </c>
      <c r="U43">
        <f t="shared" si="1"/>
        <v>239830</v>
      </c>
      <c r="V43">
        <f t="shared" si="1"/>
        <v>202701</v>
      </c>
      <c r="W43">
        <f t="shared" si="1"/>
        <v>221856</v>
      </c>
      <c r="X43">
        <f t="shared" si="1"/>
        <v>102480</v>
      </c>
      <c r="Y43">
        <f t="shared" si="1"/>
        <v>98086</v>
      </c>
    </row>
    <row r="51" spans="1:25" x14ac:dyDescent="0.25">
      <c r="A51" s="1" t="s">
        <v>16</v>
      </c>
    </row>
    <row r="52" spans="1:25" x14ac:dyDescent="0.25">
      <c r="B52" t="s">
        <v>0</v>
      </c>
      <c r="N52" t="s">
        <v>17</v>
      </c>
    </row>
    <row r="53" spans="1:25" x14ac:dyDescent="0.25">
      <c r="B53" t="s">
        <v>8</v>
      </c>
      <c r="D53" t="s">
        <v>6</v>
      </c>
      <c r="F53" t="s">
        <v>9</v>
      </c>
      <c r="H53" t="s">
        <v>7</v>
      </c>
      <c r="J53" t="s">
        <v>10</v>
      </c>
      <c r="L53" t="s">
        <v>11</v>
      </c>
      <c r="N53" t="s">
        <v>8</v>
      </c>
      <c r="P53" t="s">
        <v>6</v>
      </c>
      <c r="R53" t="s">
        <v>9</v>
      </c>
      <c r="T53" t="s">
        <v>7</v>
      </c>
      <c r="V53" t="s">
        <v>10</v>
      </c>
      <c r="X53" t="s">
        <v>11</v>
      </c>
    </row>
    <row r="54" spans="1:25" x14ac:dyDescent="0.25">
      <c r="A54" t="s">
        <v>4</v>
      </c>
      <c r="B54" t="s">
        <v>2</v>
      </c>
      <c r="C54" t="s">
        <v>3</v>
      </c>
      <c r="D54" t="s">
        <v>2</v>
      </c>
      <c r="E54" t="s">
        <v>3</v>
      </c>
      <c r="F54" t="s">
        <v>2</v>
      </c>
      <c r="G54" t="s">
        <v>3</v>
      </c>
      <c r="H54" t="s">
        <v>2</v>
      </c>
      <c r="I54" t="s">
        <v>3</v>
      </c>
      <c r="J54" t="s">
        <v>2</v>
      </c>
      <c r="K54" t="s">
        <v>3</v>
      </c>
      <c r="L54" t="s">
        <v>2</v>
      </c>
      <c r="M54" t="s">
        <v>3</v>
      </c>
      <c r="N54" t="s">
        <v>2</v>
      </c>
      <c r="O54" t="s">
        <v>3</v>
      </c>
      <c r="P54" t="s">
        <v>2</v>
      </c>
      <c r="Q54" t="s">
        <v>3</v>
      </c>
      <c r="R54" t="s">
        <v>2</v>
      </c>
      <c r="S54" t="s">
        <v>3</v>
      </c>
      <c r="T54" t="s">
        <v>2</v>
      </c>
      <c r="U54" t="s">
        <v>3</v>
      </c>
      <c r="V54" t="s">
        <v>2</v>
      </c>
      <c r="W54" t="s">
        <v>3</v>
      </c>
      <c r="X54" t="s">
        <v>2</v>
      </c>
      <c r="Y54" t="s">
        <v>3</v>
      </c>
    </row>
    <row r="55" spans="1:25" x14ac:dyDescent="0.25">
      <c r="A55">
        <v>1</v>
      </c>
      <c r="B55">
        <v>745</v>
      </c>
      <c r="C55">
        <v>4103</v>
      </c>
      <c r="D55">
        <v>793</v>
      </c>
      <c r="E55">
        <v>4375</v>
      </c>
      <c r="F55">
        <v>807</v>
      </c>
      <c r="G55">
        <v>4462</v>
      </c>
      <c r="H55">
        <v>869</v>
      </c>
      <c r="I55">
        <v>4773</v>
      </c>
      <c r="J55">
        <v>143</v>
      </c>
      <c r="K55">
        <v>620</v>
      </c>
      <c r="L55">
        <v>81</v>
      </c>
      <c r="M55">
        <v>309</v>
      </c>
      <c r="N55">
        <v>287</v>
      </c>
      <c r="O55">
        <v>2193</v>
      </c>
      <c r="P55">
        <v>332</v>
      </c>
      <c r="Q55">
        <v>2384</v>
      </c>
      <c r="R55">
        <v>310</v>
      </c>
      <c r="S55">
        <v>2357</v>
      </c>
      <c r="T55">
        <v>359</v>
      </c>
      <c r="U55">
        <v>2588</v>
      </c>
      <c r="V55">
        <v>90</v>
      </c>
      <c r="W55">
        <v>409</v>
      </c>
      <c r="X55">
        <v>41</v>
      </c>
      <c r="Y55">
        <v>178</v>
      </c>
    </row>
    <row r="56" spans="1:25" x14ac:dyDescent="0.25">
      <c r="A56">
        <v>2</v>
      </c>
      <c r="B56">
        <v>867</v>
      </c>
      <c r="C56">
        <v>4762</v>
      </c>
      <c r="D56">
        <v>985</v>
      </c>
      <c r="E56">
        <v>5257</v>
      </c>
      <c r="F56">
        <v>934</v>
      </c>
      <c r="G56">
        <v>5225</v>
      </c>
      <c r="H56">
        <v>1074</v>
      </c>
      <c r="I56">
        <v>5791</v>
      </c>
      <c r="J56">
        <v>280</v>
      </c>
      <c r="K56">
        <v>1144</v>
      </c>
      <c r="L56">
        <v>140</v>
      </c>
      <c r="M56">
        <v>578</v>
      </c>
      <c r="N56">
        <v>513</v>
      </c>
      <c r="O56">
        <v>3471</v>
      </c>
      <c r="P56">
        <v>650</v>
      </c>
      <c r="Q56">
        <v>3980</v>
      </c>
      <c r="R56">
        <v>550</v>
      </c>
      <c r="S56">
        <v>3774</v>
      </c>
      <c r="T56">
        <v>706</v>
      </c>
      <c r="U56">
        <v>4360</v>
      </c>
      <c r="V56">
        <v>258</v>
      </c>
      <c r="W56">
        <v>922</v>
      </c>
      <c r="X56">
        <v>102</v>
      </c>
      <c r="Y56">
        <v>336</v>
      </c>
    </row>
    <row r="57" spans="1:25" x14ac:dyDescent="0.25">
      <c r="A57">
        <v>3</v>
      </c>
      <c r="B57">
        <v>1319</v>
      </c>
      <c r="C57">
        <v>6903</v>
      </c>
      <c r="D57">
        <v>1587</v>
      </c>
      <c r="E57">
        <v>8082</v>
      </c>
      <c r="F57">
        <v>1442</v>
      </c>
      <c r="G57">
        <v>7556</v>
      </c>
      <c r="H57">
        <v>1750</v>
      </c>
      <c r="I57">
        <v>8961</v>
      </c>
      <c r="J57">
        <v>649</v>
      </c>
      <c r="K57">
        <v>2559</v>
      </c>
      <c r="L57">
        <v>341</v>
      </c>
      <c r="M57">
        <v>1154</v>
      </c>
      <c r="N57">
        <v>942</v>
      </c>
      <c r="O57">
        <v>5696</v>
      </c>
      <c r="P57">
        <v>1328</v>
      </c>
      <c r="Q57">
        <v>6883</v>
      </c>
      <c r="R57">
        <v>1028</v>
      </c>
      <c r="S57">
        <v>6175</v>
      </c>
      <c r="T57">
        <v>1454</v>
      </c>
      <c r="U57">
        <v>7564</v>
      </c>
      <c r="V57">
        <v>675</v>
      </c>
      <c r="W57">
        <v>2201</v>
      </c>
      <c r="X57">
        <v>249</v>
      </c>
      <c r="Y57">
        <v>812</v>
      </c>
    </row>
    <row r="58" spans="1:25" x14ac:dyDescent="0.25">
      <c r="A58">
        <v>4</v>
      </c>
      <c r="B58">
        <v>2713</v>
      </c>
      <c r="C58">
        <v>11819</v>
      </c>
      <c r="D58">
        <v>3548</v>
      </c>
      <c r="E58">
        <v>14980</v>
      </c>
      <c r="F58">
        <v>2990</v>
      </c>
      <c r="G58">
        <v>13129</v>
      </c>
      <c r="H58">
        <v>3994</v>
      </c>
      <c r="I58">
        <v>16783</v>
      </c>
      <c r="J58">
        <v>2091</v>
      </c>
      <c r="K58">
        <v>6535</v>
      </c>
      <c r="L58">
        <v>1087</v>
      </c>
      <c r="M58">
        <v>2881</v>
      </c>
      <c r="N58">
        <v>2256</v>
      </c>
      <c r="O58">
        <v>10635</v>
      </c>
      <c r="P58">
        <v>3519</v>
      </c>
      <c r="Q58">
        <v>14253</v>
      </c>
      <c r="R58">
        <v>2443</v>
      </c>
      <c r="S58">
        <v>11661</v>
      </c>
      <c r="T58">
        <v>3884</v>
      </c>
      <c r="U58">
        <v>15862</v>
      </c>
      <c r="V58">
        <v>2361</v>
      </c>
      <c r="W58">
        <v>6706</v>
      </c>
      <c r="X58">
        <v>920</v>
      </c>
      <c r="Y58">
        <v>2505</v>
      </c>
    </row>
    <row r="59" spans="1:25" x14ac:dyDescent="0.25">
      <c r="A59">
        <v>5</v>
      </c>
      <c r="B59">
        <v>7267</v>
      </c>
      <c r="C59">
        <v>26418</v>
      </c>
      <c r="D59">
        <v>11212</v>
      </c>
      <c r="E59">
        <v>39699</v>
      </c>
      <c r="F59">
        <v>7985</v>
      </c>
      <c r="G59">
        <v>29363</v>
      </c>
      <c r="H59">
        <v>12531</v>
      </c>
      <c r="I59">
        <v>44679</v>
      </c>
      <c r="J59">
        <v>8616</v>
      </c>
      <c r="K59">
        <v>26903</v>
      </c>
      <c r="L59">
        <v>4070</v>
      </c>
      <c r="M59">
        <v>11587</v>
      </c>
      <c r="N59">
        <v>7866</v>
      </c>
      <c r="O59">
        <v>26461</v>
      </c>
      <c r="P59">
        <v>13971</v>
      </c>
      <c r="Q59">
        <v>43391</v>
      </c>
      <c r="R59">
        <v>8659</v>
      </c>
      <c r="S59">
        <v>29050</v>
      </c>
      <c r="T59">
        <v>15690</v>
      </c>
      <c r="U59">
        <v>48627</v>
      </c>
      <c r="V59">
        <v>12421</v>
      </c>
      <c r="W59">
        <v>31461</v>
      </c>
      <c r="X59">
        <v>5390</v>
      </c>
      <c r="Y59">
        <v>11884</v>
      </c>
    </row>
    <row r="60" spans="1:25" x14ac:dyDescent="0.25">
      <c r="A60">
        <v>6</v>
      </c>
      <c r="B60">
        <v>15063</v>
      </c>
      <c r="C60">
        <v>33497</v>
      </c>
      <c r="D60">
        <v>30829</v>
      </c>
      <c r="E60">
        <v>66825</v>
      </c>
      <c r="F60">
        <v>17007</v>
      </c>
      <c r="G60">
        <v>37632</v>
      </c>
      <c r="H60">
        <v>35408</v>
      </c>
      <c r="I60">
        <v>75886</v>
      </c>
      <c r="J60">
        <v>37548</v>
      </c>
      <c r="K60">
        <v>72225</v>
      </c>
      <c r="L60">
        <v>19147</v>
      </c>
      <c r="M60">
        <v>33971</v>
      </c>
      <c r="N60">
        <v>17855</v>
      </c>
      <c r="O60">
        <v>36209</v>
      </c>
      <c r="P60">
        <v>42980</v>
      </c>
      <c r="Q60">
        <v>82257</v>
      </c>
      <c r="R60">
        <v>20074</v>
      </c>
      <c r="S60">
        <v>40431</v>
      </c>
      <c r="T60">
        <v>49380</v>
      </c>
      <c r="U60">
        <v>93368</v>
      </c>
      <c r="V60">
        <v>56083</v>
      </c>
      <c r="W60">
        <v>90425</v>
      </c>
      <c r="X60">
        <v>26777</v>
      </c>
      <c r="Y60">
        <v>37488</v>
      </c>
    </row>
    <row r="61" spans="1:25" x14ac:dyDescent="0.25">
      <c r="A61">
        <v>7</v>
      </c>
      <c r="B61">
        <v>14678</v>
      </c>
      <c r="C61">
        <v>23588</v>
      </c>
      <c r="D61">
        <v>31144</v>
      </c>
      <c r="E61">
        <v>50153</v>
      </c>
      <c r="F61">
        <v>16274</v>
      </c>
      <c r="G61">
        <v>26256</v>
      </c>
      <c r="H61">
        <v>35881</v>
      </c>
      <c r="I61">
        <v>57389</v>
      </c>
      <c r="J61">
        <v>46105</v>
      </c>
      <c r="K61">
        <v>67749</v>
      </c>
      <c r="L61">
        <v>26498</v>
      </c>
      <c r="M61">
        <v>36616</v>
      </c>
      <c r="N61">
        <v>10649</v>
      </c>
      <c r="O61">
        <v>16688</v>
      </c>
      <c r="P61">
        <v>30847</v>
      </c>
      <c r="Q61">
        <v>47350</v>
      </c>
      <c r="R61">
        <v>11895</v>
      </c>
      <c r="S61">
        <v>18356</v>
      </c>
      <c r="T61">
        <v>35379</v>
      </c>
      <c r="U61">
        <v>53632</v>
      </c>
      <c r="V61">
        <v>50736</v>
      </c>
      <c r="W61">
        <v>64750</v>
      </c>
      <c r="X61">
        <v>27252</v>
      </c>
      <c r="Y61">
        <v>29474</v>
      </c>
    </row>
    <row r="62" spans="1:25" x14ac:dyDescent="0.25">
      <c r="A62">
        <v>8</v>
      </c>
      <c r="B62">
        <v>4917</v>
      </c>
      <c r="C62">
        <v>4044</v>
      </c>
      <c r="D62">
        <v>13967</v>
      </c>
      <c r="E62">
        <v>12387</v>
      </c>
      <c r="F62">
        <v>5526</v>
      </c>
      <c r="G62">
        <v>4484</v>
      </c>
      <c r="H62">
        <v>16423</v>
      </c>
      <c r="I62">
        <v>14417</v>
      </c>
      <c r="J62">
        <v>28070</v>
      </c>
      <c r="K62">
        <v>24476</v>
      </c>
      <c r="L62">
        <v>17173</v>
      </c>
      <c r="M62">
        <v>14543</v>
      </c>
      <c r="N62">
        <v>2848</v>
      </c>
      <c r="O62">
        <v>3022</v>
      </c>
      <c r="P62">
        <v>12237</v>
      </c>
      <c r="Q62">
        <v>13116</v>
      </c>
      <c r="R62">
        <v>3350</v>
      </c>
      <c r="S62">
        <v>3385</v>
      </c>
      <c r="T62">
        <v>14506</v>
      </c>
      <c r="U62">
        <v>15181</v>
      </c>
      <c r="V62">
        <v>26990</v>
      </c>
      <c r="W62">
        <v>23726</v>
      </c>
      <c r="X62">
        <v>15834</v>
      </c>
      <c r="Y62">
        <v>11930</v>
      </c>
    </row>
    <row r="63" spans="1:25" x14ac:dyDescent="0.25">
      <c r="A63">
        <v>9</v>
      </c>
      <c r="B63">
        <v>4703</v>
      </c>
      <c r="C63">
        <v>6905</v>
      </c>
      <c r="D63">
        <v>15831</v>
      </c>
      <c r="E63">
        <v>23500</v>
      </c>
      <c r="F63">
        <v>5240</v>
      </c>
      <c r="G63">
        <v>7757</v>
      </c>
      <c r="H63">
        <v>18311</v>
      </c>
      <c r="I63">
        <v>26995</v>
      </c>
      <c r="J63">
        <v>28363</v>
      </c>
      <c r="K63">
        <v>38616</v>
      </c>
      <c r="L63">
        <v>15292</v>
      </c>
      <c r="M63">
        <v>19378</v>
      </c>
      <c r="N63">
        <v>8326</v>
      </c>
      <c r="O63">
        <v>9131</v>
      </c>
      <c r="P63">
        <v>27005</v>
      </c>
      <c r="Q63">
        <v>33771</v>
      </c>
      <c r="R63">
        <v>9445</v>
      </c>
      <c r="S63">
        <v>10203</v>
      </c>
      <c r="T63">
        <v>31257</v>
      </c>
      <c r="U63">
        <v>38492</v>
      </c>
      <c r="V63">
        <v>46710</v>
      </c>
      <c r="W63">
        <v>53964</v>
      </c>
      <c r="X63">
        <v>24898</v>
      </c>
      <c r="Y63">
        <v>25675</v>
      </c>
    </row>
    <row r="64" spans="1:25" x14ac:dyDescent="0.25">
      <c r="A64">
        <v>10</v>
      </c>
      <c r="B64">
        <v>2434</v>
      </c>
      <c r="C64">
        <v>2782</v>
      </c>
      <c r="D64">
        <v>11953</v>
      </c>
      <c r="E64">
        <v>11090</v>
      </c>
      <c r="F64">
        <v>2723</v>
      </c>
      <c r="G64">
        <v>3091</v>
      </c>
      <c r="H64">
        <v>13472</v>
      </c>
      <c r="I64">
        <v>12452</v>
      </c>
      <c r="J64">
        <v>25505</v>
      </c>
      <c r="K64">
        <v>19300</v>
      </c>
      <c r="L64">
        <v>14756</v>
      </c>
      <c r="M64">
        <v>9939</v>
      </c>
      <c r="N64">
        <v>14022</v>
      </c>
      <c r="O64">
        <v>7223</v>
      </c>
      <c r="P64">
        <v>38873</v>
      </c>
      <c r="Q64">
        <v>18672</v>
      </c>
      <c r="R64">
        <v>15705</v>
      </c>
      <c r="S64">
        <v>8023</v>
      </c>
      <c r="T64">
        <v>44624</v>
      </c>
      <c r="U64">
        <v>21272</v>
      </c>
      <c r="V64">
        <v>50924</v>
      </c>
      <c r="W64">
        <v>25317</v>
      </c>
      <c r="X64">
        <v>22005</v>
      </c>
      <c r="Y64">
        <v>12068</v>
      </c>
    </row>
    <row r="65" spans="1:25" x14ac:dyDescent="0.25">
      <c r="A65" t="s">
        <v>1</v>
      </c>
      <c r="B65">
        <f>SUM(B55:B64)</f>
        <v>54706</v>
      </c>
      <c r="C65">
        <f t="shared" ref="C65:Y65" si="2">SUM(C55:C64)</f>
        <v>124821</v>
      </c>
      <c r="D65">
        <f t="shared" si="2"/>
        <v>121849</v>
      </c>
      <c r="E65">
        <f t="shared" si="2"/>
        <v>236348</v>
      </c>
      <c r="F65">
        <f t="shared" si="2"/>
        <v>60928</v>
      </c>
      <c r="G65">
        <f t="shared" si="2"/>
        <v>138955</v>
      </c>
      <c r="H65">
        <f t="shared" si="2"/>
        <v>139713</v>
      </c>
      <c r="I65">
        <f t="shared" si="2"/>
        <v>268126</v>
      </c>
      <c r="J65">
        <f t="shared" si="2"/>
        <v>177370</v>
      </c>
      <c r="K65">
        <f t="shared" si="2"/>
        <v>260127</v>
      </c>
      <c r="L65">
        <f t="shared" si="2"/>
        <v>98585</v>
      </c>
      <c r="M65">
        <f t="shared" si="2"/>
        <v>130956</v>
      </c>
      <c r="N65">
        <f t="shared" si="2"/>
        <v>65564</v>
      </c>
      <c r="O65">
        <f t="shared" si="2"/>
        <v>120729</v>
      </c>
      <c r="P65">
        <f t="shared" si="2"/>
        <v>171742</v>
      </c>
      <c r="Q65">
        <f t="shared" si="2"/>
        <v>266057</v>
      </c>
      <c r="R65">
        <f t="shared" si="2"/>
        <v>73459</v>
      </c>
      <c r="S65">
        <f t="shared" si="2"/>
        <v>133415</v>
      </c>
      <c r="T65">
        <f t="shared" si="2"/>
        <v>197239</v>
      </c>
      <c r="U65">
        <f t="shared" si="2"/>
        <v>300946</v>
      </c>
      <c r="V65">
        <f t="shared" si="2"/>
        <v>247248</v>
      </c>
      <c r="W65">
        <f t="shared" si="2"/>
        <v>299881</v>
      </c>
      <c r="X65">
        <f t="shared" si="2"/>
        <v>123468</v>
      </c>
      <c r="Y65">
        <f t="shared" si="2"/>
        <v>132350</v>
      </c>
    </row>
    <row r="68" spans="1:25" x14ac:dyDescent="0.25">
      <c r="A68" s="1" t="s">
        <v>20</v>
      </c>
    </row>
    <row r="69" spans="1:25" x14ac:dyDescent="0.25">
      <c r="B69" t="s">
        <v>0</v>
      </c>
      <c r="N69" t="s">
        <v>17</v>
      </c>
    </row>
    <row r="70" spans="1:25" x14ac:dyDescent="0.25">
      <c r="B70" t="s">
        <v>8</v>
      </c>
      <c r="D70" t="s">
        <v>6</v>
      </c>
      <c r="F70" t="s">
        <v>9</v>
      </c>
      <c r="H70" t="s">
        <v>7</v>
      </c>
      <c r="J70" t="s">
        <v>10</v>
      </c>
      <c r="L70" t="s">
        <v>11</v>
      </c>
      <c r="N70" t="s">
        <v>8</v>
      </c>
      <c r="P70" t="s">
        <v>6</v>
      </c>
      <c r="R70" t="s">
        <v>9</v>
      </c>
      <c r="T70" t="s">
        <v>7</v>
      </c>
      <c r="V70" t="s">
        <v>10</v>
      </c>
      <c r="X70" t="s">
        <v>11</v>
      </c>
    </row>
    <row r="71" spans="1:25" x14ac:dyDescent="0.25">
      <c r="A71" t="s">
        <v>4</v>
      </c>
      <c r="B71" t="s">
        <v>2</v>
      </c>
      <c r="C71" t="s">
        <v>3</v>
      </c>
      <c r="D71" t="s">
        <v>2</v>
      </c>
      <c r="E71" t="s">
        <v>3</v>
      </c>
      <c r="F71" t="s">
        <v>2</v>
      </c>
      <c r="G71" t="s">
        <v>3</v>
      </c>
      <c r="H71" t="s">
        <v>2</v>
      </c>
      <c r="I71" t="s">
        <v>3</v>
      </c>
      <c r="J71" t="s">
        <v>2</v>
      </c>
      <c r="K71" t="s">
        <v>3</v>
      </c>
      <c r="L71" t="s">
        <v>2</v>
      </c>
      <c r="M71" t="s">
        <v>3</v>
      </c>
      <c r="N71" t="s">
        <v>2</v>
      </c>
      <c r="O71" t="s">
        <v>3</v>
      </c>
      <c r="P71" t="s">
        <v>2</v>
      </c>
      <c r="Q71" t="s">
        <v>3</v>
      </c>
      <c r="R71" t="s">
        <v>2</v>
      </c>
      <c r="S71" t="s">
        <v>3</v>
      </c>
      <c r="T71" t="s">
        <v>2</v>
      </c>
      <c r="U71" t="s">
        <v>3</v>
      </c>
      <c r="V71" t="s">
        <v>2</v>
      </c>
      <c r="W71" t="s">
        <v>3</v>
      </c>
      <c r="X71" t="s">
        <v>2</v>
      </c>
      <c r="Y71" t="s">
        <v>3</v>
      </c>
    </row>
    <row r="72" spans="1:25" x14ac:dyDescent="0.25">
      <c r="A72">
        <v>1</v>
      </c>
      <c r="B72">
        <v>467</v>
      </c>
      <c r="C72">
        <v>3524</v>
      </c>
      <c r="D72">
        <v>497</v>
      </c>
      <c r="E72">
        <v>3742</v>
      </c>
      <c r="F72">
        <v>505</v>
      </c>
      <c r="G72">
        <v>3766</v>
      </c>
      <c r="H72">
        <v>544</v>
      </c>
      <c r="I72">
        <v>4008</v>
      </c>
      <c r="J72">
        <v>103</v>
      </c>
      <c r="K72">
        <v>473</v>
      </c>
      <c r="L72">
        <v>64</v>
      </c>
      <c r="M72">
        <v>231</v>
      </c>
      <c r="N72">
        <v>160</v>
      </c>
      <c r="O72">
        <v>1607</v>
      </c>
      <c r="P72">
        <v>187</v>
      </c>
      <c r="Q72">
        <v>1761</v>
      </c>
      <c r="R72">
        <v>177</v>
      </c>
      <c r="S72">
        <v>1722</v>
      </c>
      <c r="T72">
        <v>205</v>
      </c>
      <c r="U72">
        <v>1903</v>
      </c>
      <c r="V72">
        <v>56</v>
      </c>
      <c r="W72">
        <v>321</v>
      </c>
      <c r="X72">
        <v>28</v>
      </c>
      <c r="Y72">
        <v>140</v>
      </c>
    </row>
    <row r="73" spans="1:25" x14ac:dyDescent="0.25">
      <c r="A73">
        <v>2</v>
      </c>
      <c r="B73">
        <v>550</v>
      </c>
      <c r="C73">
        <v>4089</v>
      </c>
      <c r="D73">
        <v>617</v>
      </c>
      <c r="E73">
        <v>4457</v>
      </c>
      <c r="F73">
        <v>588</v>
      </c>
      <c r="G73">
        <v>4405</v>
      </c>
      <c r="H73">
        <v>671</v>
      </c>
      <c r="I73">
        <v>4825</v>
      </c>
      <c r="J73">
        <v>191</v>
      </c>
      <c r="K73">
        <v>846</v>
      </c>
      <c r="L73">
        <v>108</v>
      </c>
      <c r="M73">
        <v>426</v>
      </c>
      <c r="N73">
        <v>283</v>
      </c>
      <c r="O73">
        <v>2563</v>
      </c>
      <c r="P73">
        <v>362</v>
      </c>
      <c r="Q73">
        <v>2958</v>
      </c>
      <c r="R73">
        <v>300</v>
      </c>
      <c r="S73">
        <v>2782</v>
      </c>
      <c r="T73">
        <v>387</v>
      </c>
      <c r="U73">
        <v>3221</v>
      </c>
      <c r="V73">
        <v>171</v>
      </c>
      <c r="W73">
        <v>711</v>
      </c>
      <c r="X73">
        <v>84</v>
      </c>
      <c r="Y73">
        <v>272</v>
      </c>
    </row>
    <row r="74" spans="1:25" x14ac:dyDescent="0.25">
      <c r="A74">
        <v>3</v>
      </c>
      <c r="B74">
        <v>825</v>
      </c>
      <c r="C74">
        <v>5933</v>
      </c>
      <c r="D74">
        <v>965</v>
      </c>
      <c r="E74">
        <v>6804</v>
      </c>
      <c r="F74">
        <v>889</v>
      </c>
      <c r="G74">
        <v>6353</v>
      </c>
      <c r="H74">
        <v>1049</v>
      </c>
      <c r="I74">
        <v>7383</v>
      </c>
      <c r="J74">
        <v>431</v>
      </c>
      <c r="K74">
        <v>1898</v>
      </c>
      <c r="L74">
        <v>271</v>
      </c>
      <c r="M74">
        <v>868</v>
      </c>
      <c r="N74">
        <v>543</v>
      </c>
      <c r="O74">
        <v>4279</v>
      </c>
      <c r="P74">
        <v>753</v>
      </c>
      <c r="Q74">
        <v>5178</v>
      </c>
      <c r="R74">
        <v>591</v>
      </c>
      <c r="S74">
        <v>4623</v>
      </c>
      <c r="T74">
        <v>820</v>
      </c>
      <c r="U74">
        <v>5655</v>
      </c>
      <c r="V74">
        <v>437</v>
      </c>
      <c r="W74">
        <v>1678</v>
      </c>
      <c r="X74">
        <v>208</v>
      </c>
      <c r="Y74">
        <v>646</v>
      </c>
    </row>
    <row r="75" spans="1:25" x14ac:dyDescent="0.25">
      <c r="A75">
        <v>4</v>
      </c>
      <c r="B75">
        <v>1703</v>
      </c>
      <c r="C75">
        <v>9860</v>
      </c>
      <c r="D75">
        <v>2190</v>
      </c>
      <c r="E75">
        <v>12186</v>
      </c>
      <c r="F75">
        <v>1846</v>
      </c>
      <c r="G75">
        <v>10722</v>
      </c>
      <c r="H75">
        <v>2410</v>
      </c>
      <c r="I75">
        <v>13386</v>
      </c>
      <c r="J75">
        <v>1465</v>
      </c>
      <c r="K75">
        <v>4807</v>
      </c>
      <c r="L75">
        <v>901</v>
      </c>
      <c r="M75">
        <v>2143</v>
      </c>
      <c r="N75">
        <v>1262</v>
      </c>
      <c r="O75">
        <v>9725</v>
      </c>
      <c r="P75">
        <v>1931</v>
      </c>
      <c r="Q75">
        <v>12441</v>
      </c>
      <c r="R75">
        <v>1350</v>
      </c>
      <c r="S75">
        <v>10513</v>
      </c>
      <c r="T75">
        <v>2094</v>
      </c>
      <c r="U75">
        <v>13634</v>
      </c>
      <c r="V75">
        <v>1462</v>
      </c>
      <c r="W75">
        <v>5121</v>
      </c>
      <c r="X75">
        <v>718</v>
      </c>
      <c r="Y75">
        <v>2000</v>
      </c>
    </row>
    <row r="76" spans="1:25" x14ac:dyDescent="0.25">
      <c r="A76">
        <v>5</v>
      </c>
      <c r="B76">
        <v>6626</v>
      </c>
      <c r="C76">
        <v>23671</v>
      </c>
      <c r="D76">
        <v>9785</v>
      </c>
      <c r="E76">
        <v>33413</v>
      </c>
      <c r="F76">
        <v>7231</v>
      </c>
      <c r="G76">
        <v>25666</v>
      </c>
      <c r="H76">
        <v>10846</v>
      </c>
      <c r="I76">
        <v>36759</v>
      </c>
      <c r="J76">
        <v>6991</v>
      </c>
      <c r="K76">
        <v>19738</v>
      </c>
      <c r="L76">
        <v>3376</v>
      </c>
      <c r="M76">
        <v>8645</v>
      </c>
      <c r="N76">
        <v>7272</v>
      </c>
      <c r="O76">
        <v>23783</v>
      </c>
      <c r="P76">
        <v>12256</v>
      </c>
      <c r="Q76">
        <v>36567</v>
      </c>
      <c r="R76">
        <v>7967</v>
      </c>
      <c r="S76">
        <v>25715</v>
      </c>
      <c r="T76">
        <v>13722</v>
      </c>
      <c r="U76">
        <v>40385</v>
      </c>
      <c r="V76">
        <v>10304</v>
      </c>
      <c r="W76">
        <v>23901</v>
      </c>
      <c r="X76">
        <v>4549</v>
      </c>
      <c r="Y76">
        <v>9231</v>
      </c>
    </row>
    <row r="77" spans="1:25" x14ac:dyDescent="0.25">
      <c r="A77">
        <v>6</v>
      </c>
      <c r="B77">
        <v>13255</v>
      </c>
      <c r="C77">
        <v>28513</v>
      </c>
      <c r="D77">
        <v>25024</v>
      </c>
      <c r="E77">
        <v>51423</v>
      </c>
      <c r="F77">
        <v>14801</v>
      </c>
      <c r="G77">
        <v>31181</v>
      </c>
      <c r="H77">
        <v>28668</v>
      </c>
      <c r="I77">
        <v>57289</v>
      </c>
      <c r="J77">
        <v>29096</v>
      </c>
      <c r="K77">
        <v>49634</v>
      </c>
      <c r="L77">
        <v>15229</v>
      </c>
      <c r="M77">
        <v>23526</v>
      </c>
      <c r="N77">
        <v>16021</v>
      </c>
      <c r="O77">
        <v>31655</v>
      </c>
      <c r="P77">
        <v>35341</v>
      </c>
      <c r="Q77">
        <v>63937</v>
      </c>
      <c r="R77">
        <v>17902</v>
      </c>
      <c r="S77">
        <v>34798</v>
      </c>
      <c r="T77">
        <v>40669</v>
      </c>
      <c r="U77">
        <v>71842</v>
      </c>
      <c r="V77">
        <v>44178</v>
      </c>
      <c r="W77">
        <v>63418</v>
      </c>
      <c r="X77">
        <v>21411</v>
      </c>
      <c r="Y77">
        <v>26374</v>
      </c>
    </row>
    <row r="78" spans="1:25" x14ac:dyDescent="0.25">
      <c r="A78">
        <v>7</v>
      </c>
      <c r="B78">
        <v>12705</v>
      </c>
      <c r="C78">
        <v>19976</v>
      </c>
      <c r="D78">
        <v>25560</v>
      </c>
      <c r="E78">
        <v>39532</v>
      </c>
      <c r="F78">
        <v>13967</v>
      </c>
      <c r="G78">
        <v>21812</v>
      </c>
      <c r="H78">
        <v>29280</v>
      </c>
      <c r="I78">
        <v>44429</v>
      </c>
      <c r="J78">
        <v>36110</v>
      </c>
      <c r="K78">
        <v>48441</v>
      </c>
      <c r="L78">
        <v>20797</v>
      </c>
      <c r="M78">
        <v>25824</v>
      </c>
      <c r="N78">
        <v>9562</v>
      </c>
      <c r="O78">
        <v>14723</v>
      </c>
      <c r="P78">
        <v>25401</v>
      </c>
      <c r="Q78">
        <v>37372</v>
      </c>
      <c r="R78">
        <v>10630</v>
      </c>
      <c r="S78">
        <v>16027</v>
      </c>
      <c r="T78">
        <v>29119</v>
      </c>
      <c r="U78">
        <v>41953</v>
      </c>
      <c r="V78">
        <v>40011</v>
      </c>
      <c r="W78">
        <v>46893</v>
      </c>
      <c r="X78">
        <v>21522</v>
      </c>
      <c r="Y78">
        <v>20967</v>
      </c>
    </row>
    <row r="79" spans="1:25" x14ac:dyDescent="0.25">
      <c r="A79">
        <v>8</v>
      </c>
      <c r="B79">
        <v>4267</v>
      </c>
      <c r="C79">
        <v>3355</v>
      </c>
      <c r="D79">
        <v>11251</v>
      </c>
      <c r="E79">
        <v>9421</v>
      </c>
      <c r="F79">
        <v>4773</v>
      </c>
      <c r="G79">
        <v>3681</v>
      </c>
      <c r="H79">
        <v>13223</v>
      </c>
      <c r="I79">
        <v>10884</v>
      </c>
      <c r="J79">
        <v>21852</v>
      </c>
      <c r="K79">
        <v>17739</v>
      </c>
      <c r="L79">
        <v>13402</v>
      </c>
      <c r="M79">
        <v>10536</v>
      </c>
      <c r="N79">
        <v>2459</v>
      </c>
      <c r="O79">
        <v>2456</v>
      </c>
      <c r="P79">
        <v>9449</v>
      </c>
      <c r="Q79">
        <v>9205</v>
      </c>
      <c r="R79">
        <v>2884</v>
      </c>
      <c r="S79">
        <v>2721</v>
      </c>
      <c r="T79">
        <v>11283</v>
      </c>
      <c r="U79">
        <v>10675</v>
      </c>
      <c r="V79">
        <v>20246</v>
      </c>
      <c r="W79">
        <v>15814</v>
      </c>
      <c r="X79">
        <v>11847</v>
      </c>
      <c r="Y79">
        <v>7860</v>
      </c>
    </row>
    <row r="80" spans="1:25" x14ac:dyDescent="0.25">
      <c r="A80">
        <v>9</v>
      </c>
      <c r="B80">
        <v>4123</v>
      </c>
      <c r="C80">
        <v>5931</v>
      </c>
      <c r="D80">
        <v>12420</v>
      </c>
      <c r="E80">
        <v>17292</v>
      </c>
      <c r="F80">
        <v>4561</v>
      </c>
      <c r="G80">
        <v>6523</v>
      </c>
      <c r="H80">
        <v>14386</v>
      </c>
      <c r="I80">
        <v>19607</v>
      </c>
      <c r="J80">
        <v>21392</v>
      </c>
      <c r="K80">
        <v>25906</v>
      </c>
      <c r="L80">
        <v>11567</v>
      </c>
      <c r="M80">
        <v>12822</v>
      </c>
      <c r="N80">
        <v>7492</v>
      </c>
      <c r="O80">
        <v>8124</v>
      </c>
      <c r="P80">
        <v>21704</v>
      </c>
      <c r="Q80">
        <v>25091</v>
      </c>
      <c r="R80">
        <v>8479</v>
      </c>
      <c r="S80">
        <v>8995</v>
      </c>
      <c r="T80">
        <v>25183</v>
      </c>
      <c r="U80">
        <v>28450</v>
      </c>
      <c r="V80">
        <v>35592</v>
      </c>
      <c r="W80">
        <v>36459</v>
      </c>
      <c r="X80">
        <v>18888</v>
      </c>
      <c r="Y80">
        <v>17004</v>
      </c>
    </row>
    <row r="81" spans="1:25" x14ac:dyDescent="0.25">
      <c r="A81">
        <v>10</v>
      </c>
      <c r="B81">
        <v>2157</v>
      </c>
      <c r="C81">
        <v>2355</v>
      </c>
      <c r="D81">
        <v>9797</v>
      </c>
      <c r="E81">
        <v>8367</v>
      </c>
      <c r="F81">
        <v>2412</v>
      </c>
      <c r="G81">
        <v>2573</v>
      </c>
      <c r="H81">
        <v>11048</v>
      </c>
      <c r="I81">
        <v>9303</v>
      </c>
      <c r="J81">
        <v>20322</v>
      </c>
      <c r="K81">
        <v>13508</v>
      </c>
      <c r="L81">
        <v>11686</v>
      </c>
      <c r="M81">
        <v>6778</v>
      </c>
      <c r="N81">
        <v>12676</v>
      </c>
      <c r="O81">
        <v>6462</v>
      </c>
      <c r="P81">
        <v>32030</v>
      </c>
      <c r="Q81">
        <v>14387</v>
      </c>
      <c r="R81">
        <v>14196</v>
      </c>
      <c r="S81">
        <v>7142</v>
      </c>
      <c r="T81">
        <v>36854</v>
      </c>
      <c r="U81">
        <v>16374</v>
      </c>
      <c r="V81">
        <v>39951</v>
      </c>
      <c r="W81">
        <v>17573</v>
      </c>
      <c r="X81">
        <v>17293</v>
      </c>
      <c r="Y81">
        <v>8341</v>
      </c>
    </row>
    <row r="82" spans="1:25" x14ac:dyDescent="0.25">
      <c r="A82" t="s">
        <v>1</v>
      </c>
      <c r="B82">
        <f>SUM(B72:B81)</f>
        <v>46678</v>
      </c>
      <c r="C82">
        <f t="shared" ref="C82:Y82" si="3">SUM(C72:C81)</f>
        <v>107207</v>
      </c>
      <c r="D82">
        <f t="shared" si="3"/>
        <v>98106</v>
      </c>
      <c r="E82">
        <f t="shared" si="3"/>
        <v>186637</v>
      </c>
      <c r="F82">
        <f t="shared" si="3"/>
        <v>51573</v>
      </c>
      <c r="G82">
        <f t="shared" si="3"/>
        <v>116682</v>
      </c>
      <c r="H82">
        <f t="shared" si="3"/>
        <v>112125</v>
      </c>
      <c r="I82">
        <f t="shared" si="3"/>
        <v>207873</v>
      </c>
      <c r="J82">
        <f t="shared" si="3"/>
        <v>137953</v>
      </c>
      <c r="K82">
        <f t="shared" si="3"/>
        <v>182990</v>
      </c>
      <c r="L82">
        <f t="shared" si="3"/>
        <v>77401</v>
      </c>
      <c r="M82">
        <f t="shared" si="3"/>
        <v>91799</v>
      </c>
      <c r="N82">
        <f t="shared" si="3"/>
        <v>57730</v>
      </c>
      <c r="O82">
        <f t="shared" si="3"/>
        <v>105377</v>
      </c>
      <c r="P82">
        <f t="shared" si="3"/>
        <v>139414</v>
      </c>
      <c r="Q82">
        <f t="shared" si="3"/>
        <v>208897</v>
      </c>
      <c r="R82">
        <f t="shared" si="3"/>
        <v>64476</v>
      </c>
      <c r="S82">
        <f t="shared" si="3"/>
        <v>115038</v>
      </c>
      <c r="T82">
        <f t="shared" si="3"/>
        <v>160336</v>
      </c>
      <c r="U82">
        <f t="shared" si="3"/>
        <v>234092</v>
      </c>
      <c r="V82">
        <f t="shared" si="3"/>
        <v>192408</v>
      </c>
      <c r="W82">
        <f t="shared" si="3"/>
        <v>211889</v>
      </c>
      <c r="X82">
        <f t="shared" si="3"/>
        <v>96548</v>
      </c>
      <c r="Y82">
        <f t="shared" si="3"/>
        <v>92835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Y86"/>
  <sheetViews>
    <sheetView topLeftCell="A52" zoomScale="85" zoomScaleNormal="85" workbookViewId="0">
      <selection activeCell="N76" sqref="N76:Y85"/>
    </sheetView>
  </sheetViews>
  <sheetFormatPr baseColWidth="10" defaultRowHeight="15" x14ac:dyDescent="0.25"/>
  <sheetData>
    <row r="5" spans="1:25" x14ac:dyDescent="0.25">
      <c r="A5" s="2" t="s">
        <v>12</v>
      </c>
      <c r="B5" t="s">
        <v>15</v>
      </c>
    </row>
    <row r="6" spans="1:25" x14ac:dyDescent="0.25">
      <c r="A6" s="2" t="s">
        <v>13</v>
      </c>
      <c r="B6" t="str">
        <f ca="1">LEFT(MID(CELL("Dateiname",A1),FIND("[",CELL("Dateiname",A1))+1,FIND("]",CELL("Dateiname",A1))-FIND("[",CELL("Dateiname",A1))-1),14)</f>
        <v>2025-11-25-133</v>
      </c>
    </row>
    <row r="7" spans="1:25" x14ac:dyDescent="0.25">
      <c r="A7" s="2" t="s">
        <v>14</v>
      </c>
      <c r="B7" s="3">
        <f ca="1">TODAY()</f>
        <v>46021</v>
      </c>
    </row>
    <row r="10" spans="1:25" x14ac:dyDescent="0.25">
      <c r="A10" s="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2" spans="1:25" x14ac:dyDescent="0.25">
      <c r="B12" t="s">
        <v>0</v>
      </c>
      <c r="N12" t="s">
        <v>17</v>
      </c>
    </row>
    <row r="13" spans="1:25" x14ac:dyDescent="0.25">
      <c r="B13" t="s">
        <v>8</v>
      </c>
      <c r="D13" t="s">
        <v>6</v>
      </c>
      <c r="F13" t="s">
        <v>9</v>
      </c>
      <c r="H13" t="s">
        <v>7</v>
      </c>
      <c r="J13" t="s">
        <v>10</v>
      </c>
      <c r="L13" t="s">
        <v>11</v>
      </c>
      <c r="N13" t="s">
        <v>8</v>
      </c>
      <c r="P13" t="s">
        <v>6</v>
      </c>
      <c r="R13" t="s">
        <v>9</v>
      </c>
      <c r="T13" t="s">
        <v>7</v>
      </c>
      <c r="V13" t="s">
        <v>10</v>
      </c>
      <c r="X13" t="s">
        <v>11</v>
      </c>
    </row>
    <row r="14" spans="1:25" x14ac:dyDescent="0.25">
      <c r="A14" t="s">
        <v>4</v>
      </c>
      <c r="B14" t="s">
        <v>2</v>
      </c>
      <c r="C14" t="s">
        <v>3</v>
      </c>
      <c r="D14" t="s">
        <v>2</v>
      </c>
      <c r="E14" t="s">
        <v>3</v>
      </c>
      <c r="F14" t="s">
        <v>2</v>
      </c>
      <c r="G14" t="s">
        <v>3</v>
      </c>
      <c r="H14" t="s">
        <v>2</v>
      </c>
      <c r="I14" t="s">
        <v>3</v>
      </c>
      <c r="J14" t="s">
        <v>2</v>
      </c>
      <c r="K14" t="s">
        <v>3</v>
      </c>
      <c r="L14" t="s">
        <v>2</v>
      </c>
      <c r="M14" t="s">
        <v>3</v>
      </c>
      <c r="N14" t="s">
        <v>2</v>
      </c>
      <c r="O14" t="s">
        <v>3</v>
      </c>
      <c r="P14" t="s">
        <v>2</v>
      </c>
      <c r="Q14" t="s">
        <v>3</v>
      </c>
      <c r="R14" t="s">
        <v>2</v>
      </c>
      <c r="S14" t="s">
        <v>3</v>
      </c>
      <c r="T14" t="s">
        <v>2</v>
      </c>
      <c r="U14" t="s">
        <v>3</v>
      </c>
      <c r="V14" t="s">
        <v>2</v>
      </c>
      <c r="W14" t="s">
        <v>3</v>
      </c>
      <c r="X14" t="s">
        <v>2</v>
      </c>
      <c r="Y14" t="s">
        <v>3</v>
      </c>
    </row>
    <row r="15" spans="1:25" x14ac:dyDescent="0.25">
      <c r="A15">
        <v>1</v>
      </c>
      <c r="B15">
        <v>696</v>
      </c>
      <c r="C15">
        <v>3914</v>
      </c>
      <c r="D15">
        <v>737</v>
      </c>
      <c r="E15">
        <v>4125</v>
      </c>
      <c r="F15">
        <v>699</v>
      </c>
      <c r="G15">
        <v>3935</v>
      </c>
      <c r="H15">
        <v>738</v>
      </c>
      <c r="I15">
        <v>4127</v>
      </c>
      <c r="J15">
        <v>58</v>
      </c>
      <c r="K15">
        <v>279</v>
      </c>
      <c r="L15">
        <v>19</v>
      </c>
      <c r="M15">
        <v>87</v>
      </c>
      <c r="N15">
        <v>258</v>
      </c>
      <c r="O15">
        <v>2051</v>
      </c>
      <c r="P15">
        <v>301</v>
      </c>
      <c r="Q15">
        <v>2203</v>
      </c>
      <c r="R15">
        <v>259</v>
      </c>
      <c r="S15">
        <v>2062</v>
      </c>
      <c r="T15">
        <v>301</v>
      </c>
      <c r="U15">
        <v>2204</v>
      </c>
      <c r="V15">
        <v>54</v>
      </c>
      <c r="W15">
        <v>187</v>
      </c>
      <c r="X15">
        <v>12</v>
      </c>
      <c r="Y15">
        <v>45</v>
      </c>
    </row>
    <row r="16" spans="1:25" x14ac:dyDescent="0.25">
      <c r="A16">
        <v>2</v>
      </c>
      <c r="B16">
        <v>797</v>
      </c>
      <c r="C16">
        <v>4479</v>
      </c>
      <c r="D16">
        <v>905</v>
      </c>
      <c r="E16">
        <v>4879</v>
      </c>
      <c r="F16">
        <v>803</v>
      </c>
      <c r="G16">
        <v>4511</v>
      </c>
      <c r="H16">
        <v>905</v>
      </c>
      <c r="I16">
        <v>4881</v>
      </c>
      <c r="J16">
        <v>144</v>
      </c>
      <c r="K16">
        <v>523</v>
      </c>
      <c r="L16">
        <v>42</v>
      </c>
      <c r="M16">
        <v>153</v>
      </c>
      <c r="N16">
        <v>460</v>
      </c>
      <c r="O16">
        <v>3233</v>
      </c>
      <c r="P16">
        <v>585</v>
      </c>
      <c r="Q16">
        <v>3647</v>
      </c>
      <c r="R16">
        <v>465</v>
      </c>
      <c r="S16">
        <v>3251</v>
      </c>
      <c r="T16">
        <v>586</v>
      </c>
      <c r="U16">
        <v>3651</v>
      </c>
      <c r="V16">
        <v>151</v>
      </c>
      <c r="W16">
        <v>487</v>
      </c>
      <c r="X16">
        <v>30</v>
      </c>
      <c r="Y16">
        <v>87</v>
      </c>
    </row>
    <row r="17" spans="1:25" x14ac:dyDescent="0.25">
      <c r="A17">
        <v>3</v>
      </c>
      <c r="B17">
        <v>1194</v>
      </c>
      <c r="C17">
        <v>6436</v>
      </c>
      <c r="D17">
        <v>1433</v>
      </c>
      <c r="E17">
        <v>7455</v>
      </c>
      <c r="F17">
        <v>1201</v>
      </c>
      <c r="G17">
        <v>6471</v>
      </c>
      <c r="H17">
        <v>1437</v>
      </c>
      <c r="I17">
        <v>7460</v>
      </c>
      <c r="J17">
        <v>346</v>
      </c>
      <c r="K17">
        <v>1354</v>
      </c>
      <c r="L17">
        <v>110</v>
      </c>
      <c r="M17">
        <v>365</v>
      </c>
      <c r="N17">
        <v>814</v>
      </c>
      <c r="O17">
        <v>5175</v>
      </c>
      <c r="P17">
        <v>1144</v>
      </c>
      <c r="Q17">
        <v>6202</v>
      </c>
      <c r="R17">
        <v>824</v>
      </c>
      <c r="S17">
        <v>5211</v>
      </c>
      <c r="T17">
        <v>1148</v>
      </c>
      <c r="U17">
        <v>6210</v>
      </c>
      <c r="V17">
        <v>414</v>
      </c>
      <c r="W17">
        <v>1225</v>
      </c>
      <c r="X17">
        <v>90</v>
      </c>
      <c r="Y17">
        <v>226</v>
      </c>
    </row>
    <row r="18" spans="1:25" x14ac:dyDescent="0.25">
      <c r="A18">
        <v>4</v>
      </c>
      <c r="B18">
        <v>2368</v>
      </c>
      <c r="C18">
        <v>10903</v>
      </c>
      <c r="D18">
        <v>3135</v>
      </c>
      <c r="E18">
        <v>13763</v>
      </c>
      <c r="F18">
        <v>2380</v>
      </c>
      <c r="G18">
        <v>10987</v>
      </c>
      <c r="H18">
        <v>3143</v>
      </c>
      <c r="I18">
        <v>13786</v>
      </c>
      <c r="J18">
        <v>1229</v>
      </c>
      <c r="K18">
        <v>3761</v>
      </c>
      <c r="L18">
        <v>466</v>
      </c>
      <c r="M18">
        <v>962</v>
      </c>
      <c r="N18">
        <v>1868</v>
      </c>
      <c r="O18">
        <v>9395</v>
      </c>
      <c r="P18">
        <v>2972</v>
      </c>
      <c r="Q18">
        <v>12466</v>
      </c>
      <c r="R18">
        <v>1891</v>
      </c>
      <c r="S18">
        <v>9484</v>
      </c>
      <c r="T18">
        <v>2984</v>
      </c>
      <c r="U18">
        <v>12486</v>
      </c>
      <c r="V18">
        <v>1449</v>
      </c>
      <c r="W18">
        <v>3769</v>
      </c>
      <c r="X18">
        <v>356</v>
      </c>
      <c r="Y18">
        <v>767</v>
      </c>
    </row>
    <row r="19" spans="1:25" x14ac:dyDescent="0.25">
      <c r="A19">
        <v>5</v>
      </c>
      <c r="B19">
        <v>6052</v>
      </c>
      <c r="C19">
        <v>23663</v>
      </c>
      <c r="D19">
        <v>9419</v>
      </c>
      <c r="E19">
        <v>35408</v>
      </c>
      <c r="F19">
        <v>6096</v>
      </c>
      <c r="G19">
        <v>23856</v>
      </c>
      <c r="H19">
        <v>9434</v>
      </c>
      <c r="I19">
        <v>35454</v>
      </c>
      <c r="J19">
        <v>4665</v>
      </c>
      <c r="K19">
        <v>15533</v>
      </c>
      <c r="L19">
        <v>1327</v>
      </c>
      <c r="M19">
        <v>3935</v>
      </c>
      <c r="N19">
        <v>5993</v>
      </c>
      <c r="O19">
        <v>21763</v>
      </c>
      <c r="P19">
        <v>10781</v>
      </c>
      <c r="Q19">
        <v>35179</v>
      </c>
      <c r="R19">
        <v>6052</v>
      </c>
      <c r="S19">
        <v>21948</v>
      </c>
      <c r="T19">
        <v>10801</v>
      </c>
      <c r="U19">
        <v>35227</v>
      </c>
      <c r="V19">
        <v>6518</v>
      </c>
      <c r="W19">
        <v>17078</v>
      </c>
      <c r="X19">
        <v>1769</v>
      </c>
      <c r="Y19">
        <v>3799</v>
      </c>
    </row>
    <row r="20" spans="1:25" x14ac:dyDescent="0.25">
      <c r="A20">
        <v>6</v>
      </c>
      <c r="B20">
        <v>11201</v>
      </c>
      <c r="C20">
        <v>28240</v>
      </c>
      <c r="D20">
        <v>22930</v>
      </c>
      <c r="E20">
        <v>56005</v>
      </c>
      <c r="F20">
        <v>11253</v>
      </c>
      <c r="G20">
        <v>28490</v>
      </c>
      <c r="H20">
        <v>22967</v>
      </c>
      <c r="I20">
        <v>56087</v>
      </c>
      <c r="J20">
        <v>17908</v>
      </c>
      <c r="K20">
        <v>39609</v>
      </c>
      <c r="L20">
        <v>6194</v>
      </c>
      <c r="M20">
        <v>12012</v>
      </c>
      <c r="N20">
        <v>10755</v>
      </c>
      <c r="O20">
        <v>25596</v>
      </c>
      <c r="P20">
        <v>25973</v>
      </c>
      <c r="Q20">
        <v>57783</v>
      </c>
      <c r="R20">
        <v>10862</v>
      </c>
      <c r="S20">
        <v>25850</v>
      </c>
      <c r="T20">
        <v>26026</v>
      </c>
      <c r="U20">
        <v>57872</v>
      </c>
      <c r="V20">
        <v>23662</v>
      </c>
      <c r="W20">
        <v>44774</v>
      </c>
      <c r="X20">
        <v>8498</v>
      </c>
      <c r="Y20">
        <v>12752</v>
      </c>
    </row>
    <row r="21" spans="1:25" x14ac:dyDescent="0.25">
      <c r="A21">
        <v>7</v>
      </c>
      <c r="B21">
        <v>9361</v>
      </c>
      <c r="C21">
        <v>18569</v>
      </c>
      <c r="D21">
        <v>19369</v>
      </c>
      <c r="E21">
        <v>38340</v>
      </c>
      <c r="F21">
        <v>9397</v>
      </c>
      <c r="G21">
        <v>18678</v>
      </c>
      <c r="H21">
        <v>19393</v>
      </c>
      <c r="I21">
        <v>38405</v>
      </c>
      <c r="J21">
        <v>18858</v>
      </c>
      <c r="K21">
        <v>33067</v>
      </c>
      <c r="L21">
        <v>8862</v>
      </c>
      <c r="M21">
        <v>13340</v>
      </c>
      <c r="N21">
        <v>5806</v>
      </c>
      <c r="O21">
        <v>10330</v>
      </c>
      <c r="P21">
        <v>17316</v>
      </c>
      <c r="Q21">
        <v>29719</v>
      </c>
      <c r="R21">
        <v>5855</v>
      </c>
      <c r="S21">
        <v>10433</v>
      </c>
      <c r="T21">
        <v>17358</v>
      </c>
      <c r="U21">
        <v>29794</v>
      </c>
      <c r="V21">
        <v>21457</v>
      </c>
      <c r="W21">
        <v>30313</v>
      </c>
      <c r="X21">
        <v>9954</v>
      </c>
      <c r="Y21">
        <v>10952</v>
      </c>
    </row>
    <row r="22" spans="1:25" x14ac:dyDescent="0.25">
      <c r="A22">
        <v>8</v>
      </c>
      <c r="B22">
        <v>2290</v>
      </c>
      <c r="C22">
        <v>2618</v>
      </c>
      <c r="D22">
        <v>7069</v>
      </c>
      <c r="E22">
        <v>8256</v>
      </c>
      <c r="F22">
        <v>2295</v>
      </c>
      <c r="G22">
        <v>2623</v>
      </c>
      <c r="H22">
        <v>7078</v>
      </c>
      <c r="I22">
        <v>8279</v>
      </c>
      <c r="J22">
        <v>13135</v>
      </c>
      <c r="K22">
        <v>13251</v>
      </c>
      <c r="L22">
        <v>8352</v>
      </c>
      <c r="M22">
        <v>7595</v>
      </c>
      <c r="N22">
        <v>1112</v>
      </c>
      <c r="O22">
        <v>1219</v>
      </c>
      <c r="P22">
        <v>4721</v>
      </c>
      <c r="Q22">
        <v>5279</v>
      </c>
      <c r="R22">
        <v>1127</v>
      </c>
      <c r="S22">
        <v>1226</v>
      </c>
      <c r="T22">
        <v>4731</v>
      </c>
      <c r="U22">
        <v>5300</v>
      </c>
      <c r="V22">
        <v>8436</v>
      </c>
      <c r="W22">
        <v>7634</v>
      </c>
      <c r="X22">
        <v>4832</v>
      </c>
      <c r="Y22">
        <v>3560</v>
      </c>
    </row>
    <row r="23" spans="1:25" x14ac:dyDescent="0.25">
      <c r="A23">
        <v>9</v>
      </c>
      <c r="B23">
        <v>2425</v>
      </c>
      <c r="C23">
        <v>4806</v>
      </c>
      <c r="D23">
        <v>8817</v>
      </c>
      <c r="E23">
        <v>16756</v>
      </c>
      <c r="F23">
        <v>2446</v>
      </c>
      <c r="G23">
        <v>4847</v>
      </c>
      <c r="H23">
        <v>8837</v>
      </c>
      <c r="I23">
        <v>16787</v>
      </c>
      <c r="J23">
        <v>9801</v>
      </c>
      <c r="K23">
        <v>17522</v>
      </c>
      <c r="L23">
        <v>3410</v>
      </c>
      <c r="M23">
        <v>5582</v>
      </c>
      <c r="N23">
        <v>3001</v>
      </c>
      <c r="O23">
        <v>4135</v>
      </c>
      <c r="P23">
        <v>11518</v>
      </c>
      <c r="Q23">
        <v>17491</v>
      </c>
      <c r="R23">
        <v>3062</v>
      </c>
      <c r="S23">
        <v>4231</v>
      </c>
      <c r="T23">
        <v>11548</v>
      </c>
      <c r="U23">
        <v>17531</v>
      </c>
      <c r="V23">
        <v>14549</v>
      </c>
      <c r="W23">
        <v>20776</v>
      </c>
      <c r="X23">
        <v>6063</v>
      </c>
      <c r="Y23">
        <v>7476</v>
      </c>
    </row>
    <row r="24" spans="1:25" x14ac:dyDescent="0.25">
      <c r="A24">
        <v>10</v>
      </c>
      <c r="B24">
        <v>1155</v>
      </c>
      <c r="C24">
        <v>1968</v>
      </c>
      <c r="D24">
        <v>3911</v>
      </c>
      <c r="E24">
        <v>5674</v>
      </c>
      <c r="F24">
        <v>1164</v>
      </c>
      <c r="G24">
        <v>1982</v>
      </c>
      <c r="H24">
        <v>3919</v>
      </c>
      <c r="I24">
        <v>5683</v>
      </c>
      <c r="J24">
        <v>3862</v>
      </c>
      <c r="K24">
        <v>4881</v>
      </c>
      <c r="L24">
        <v>1107</v>
      </c>
      <c r="M24">
        <v>1180</v>
      </c>
      <c r="N24">
        <v>3100</v>
      </c>
      <c r="O24">
        <v>2307</v>
      </c>
      <c r="P24">
        <v>7543</v>
      </c>
      <c r="Q24">
        <v>6144</v>
      </c>
      <c r="R24">
        <v>3170</v>
      </c>
      <c r="S24">
        <v>2361</v>
      </c>
      <c r="T24">
        <v>7574</v>
      </c>
      <c r="U24">
        <v>6161</v>
      </c>
      <c r="V24">
        <v>6898</v>
      </c>
      <c r="W24">
        <v>5483</v>
      </c>
      <c r="X24">
        <v>2494</v>
      </c>
      <c r="Y24">
        <v>1683</v>
      </c>
    </row>
    <row r="25" spans="1:25" x14ac:dyDescent="0.25">
      <c r="A25" t="s">
        <v>1</v>
      </c>
      <c r="B25">
        <f>SUM(B15:B24)</f>
        <v>37539</v>
      </c>
      <c r="C25">
        <f t="shared" ref="C25:M25" si="0">SUM(C15:C24)</f>
        <v>105596</v>
      </c>
      <c r="D25">
        <f t="shared" si="0"/>
        <v>77725</v>
      </c>
      <c r="E25">
        <f t="shared" si="0"/>
        <v>190661</v>
      </c>
      <c r="F25">
        <f t="shared" si="0"/>
        <v>37734</v>
      </c>
      <c r="G25">
        <f t="shared" si="0"/>
        <v>106380</v>
      </c>
      <c r="H25">
        <f t="shared" si="0"/>
        <v>77851</v>
      </c>
      <c r="I25">
        <f t="shared" si="0"/>
        <v>190949</v>
      </c>
      <c r="J25">
        <f t="shared" si="0"/>
        <v>70006</v>
      </c>
      <c r="K25">
        <f t="shared" si="0"/>
        <v>129780</v>
      </c>
      <c r="L25">
        <f t="shared" si="0"/>
        <v>29889</v>
      </c>
      <c r="M25">
        <f t="shared" si="0"/>
        <v>45211</v>
      </c>
      <c r="N25">
        <f>SUM(N15:N24)</f>
        <v>33167</v>
      </c>
      <c r="O25">
        <f t="shared" ref="O25:Y25" si="1">SUM(O15:O24)</f>
        <v>85204</v>
      </c>
      <c r="P25">
        <f t="shared" si="1"/>
        <v>82854</v>
      </c>
      <c r="Q25">
        <f t="shared" si="1"/>
        <v>176113</v>
      </c>
      <c r="R25">
        <f t="shared" si="1"/>
        <v>33567</v>
      </c>
      <c r="S25">
        <f t="shared" si="1"/>
        <v>86057</v>
      </c>
      <c r="T25">
        <f t="shared" si="1"/>
        <v>83057</v>
      </c>
      <c r="U25">
        <f t="shared" si="1"/>
        <v>176436</v>
      </c>
      <c r="V25">
        <f t="shared" si="1"/>
        <v>83588</v>
      </c>
      <c r="W25">
        <f t="shared" si="1"/>
        <v>131726</v>
      </c>
      <c r="X25">
        <f t="shared" si="1"/>
        <v>34098</v>
      </c>
      <c r="Y25">
        <f t="shared" si="1"/>
        <v>41347</v>
      </c>
    </row>
    <row r="30" spans="1:25" s="1" customFormat="1" x14ac:dyDescent="0.25">
      <c r="A30" s="1" t="s">
        <v>19</v>
      </c>
    </row>
    <row r="32" spans="1:25" x14ac:dyDescent="0.25">
      <c r="B32" t="s">
        <v>0</v>
      </c>
      <c r="N32" t="s">
        <v>17</v>
      </c>
    </row>
    <row r="33" spans="1:25" x14ac:dyDescent="0.25">
      <c r="B33" t="s">
        <v>8</v>
      </c>
      <c r="D33" t="s">
        <v>6</v>
      </c>
      <c r="F33" t="s">
        <v>9</v>
      </c>
      <c r="H33" t="s">
        <v>7</v>
      </c>
      <c r="J33" t="s">
        <v>10</v>
      </c>
      <c r="L33" t="s">
        <v>11</v>
      </c>
      <c r="N33" t="s">
        <v>8</v>
      </c>
      <c r="P33" t="s">
        <v>6</v>
      </c>
      <c r="R33" t="s">
        <v>9</v>
      </c>
      <c r="T33" t="s">
        <v>7</v>
      </c>
      <c r="V33" t="s">
        <v>10</v>
      </c>
      <c r="X33" t="s">
        <v>11</v>
      </c>
    </row>
    <row r="34" spans="1:25" x14ac:dyDescent="0.25">
      <c r="A34" t="s">
        <v>4</v>
      </c>
      <c r="B34" t="s">
        <v>2</v>
      </c>
      <c r="C34" t="s">
        <v>3</v>
      </c>
      <c r="D34" t="s">
        <v>2</v>
      </c>
      <c r="E34" t="s">
        <v>3</v>
      </c>
      <c r="F34" t="s">
        <v>2</v>
      </c>
      <c r="G34" t="s">
        <v>3</v>
      </c>
      <c r="H34" t="s">
        <v>2</v>
      </c>
      <c r="I34" t="s">
        <v>3</v>
      </c>
      <c r="J34" t="s">
        <v>2</v>
      </c>
      <c r="K34" t="s">
        <v>3</v>
      </c>
      <c r="L34" t="s">
        <v>2</v>
      </c>
      <c r="M34" t="s">
        <v>3</v>
      </c>
      <c r="N34" t="s">
        <v>2</v>
      </c>
      <c r="O34" t="s">
        <v>3</v>
      </c>
      <c r="P34" t="s">
        <v>2</v>
      </c>
      <c r="Q34" t="s">
        <v>3</v>
      </c>
      <c r="R34" t="s">
        <v>2</v>
      </c>
      <c r="S34" t="s">
        <v>3</v>
      </c>
      <c r="T34" t="s">
        <v>2</v>
      </c>
      <c r="U34" t="s">
        <v>3</v>
      </c>
      <c r="V34" t="s">
        <v>2</v>
      </c>
      <c r="W34" t="s">
        <v>3</v>
      </c>
      <c r="X34" t="s">
        <v>2</v>
      </c>
      <c r="Y34" t="s">
        <v>3</v>
      </c>
    </row>
    <row r="35" spans="1:25" x14ac:dyDescent="0.25">
      <c r="A35">
        <v>1</v>
      </c>
      <c r="B35">
        <v>436</v>
      </c>
      <c r="C35">
        <v>3370</v>
      </c>
      <c r="D35">
        <v>462</v>
      </c>
      <c r="E35">
        <v>3537</v>
      </c>
      <c r="F35">
        <v>439</v>
      </c>
      <c r="G35">
        <v>3387</v>
      </c>
      <c r="H35">
        <v>463</v>
      </c>
      <c r="I35">
        <v>3539</v>
      </c>
      <c r="J35">
        <v>39</v>
      </c>
      <c r="K35">
        <v>229</v>
      </c>
      <c r="L35">
        <v>15</v>
      </c>
      <c r="M35">
        <v>77</v>
      </c>
      <c r="N35">
        <v>144</v>
      </c>
      <c r="O35">
        <v>1512</v>
      </c>
      <c r="P35">
        <v>169</v>
      </c>
      <c r="Q35">
        <v>1630</v>
      </c>
      <c r="R35">
        <v>145</v>
      </c>
      <c r="S35">
        <v>1521</v>
      </c>
      <c r="T35">
        <v>169</v>
      </c>
      <c r="U35">
        <v>1630</v>
      </c>
      <c r="V35">
        <v>34</v>
      </c>
      <c r="W35">
        <v>147</v>
      </c>
      <c r="X35">
        <v>10</v>
      </c>
      <c r="Y35">
        <v>38</v>
      </c>
    </row>
    <row r="36" spans="1:25" x14ac:dyDescent="0.25">
      <c r="A36">
        <v>2</v>
      </c>
      <c r="B36">
        <v>512</v>
      </c>
      <c r="C36">
        <v>3863</v>
      </c>
      <c r="D36">
        <v>573</v>
      </c>
      <c r="E36">
        <v>4148</v>
      </c>
      <c r="F36">
        <v>513</v>
      </c>
      <c r="G36">
        <v>3882</v>
      </c>
      <c r="H36">
        <v>573</v>
      </c>
      <c r="I36">
        <v>4149</v>
      </c>
      <c r="J36">
        <v>93</v>
      </c>
      <c r="K36">
        <v>391</v>
      </c>
      <c r="L36">
        <v>33</v>
      </c>
      <c r="M36">
        <v>124</v>
      </c>
      <c r="N36">
        <v>252</v>
      </c>
      <c r="O36">
        <v>2380</v>
      </c>
      <c r="P36">
        <v>319</v>
      </c>
      <c r="Q36">
        <v>2685</v>
      </c>
      <c r="R36">
        <v>255</v>
      </c>
      <c r="S36">
        <v>2394</v>
      </c>
      <c r="T36">
        <v>320</v>
      </c>
      <c r="U36">
        <v>2687</v>
      </c>
      <c r="V36">
        <v>88</v>
      </c>
      <c r="W36">
        <v>367</v>
      </c>
      <c r="X36">
        <v>23</v>
      </c>
      <c r="Y36">
        <v>74</v>
      </c>
    </row>
    <row r="37" spans="1:25" x14ac:dyDescent="0.25">
      <c r="A37">
        <v>3</v>
      </c>
      <c r="B37">
        <v>759</v>
      </c>
      <c r="C37">
        <v>5556</v>
      </c>
      <c r="D37">
        <v>871</v>
      </c>
      <c r="E37">
        <v>6252</v>
      </c>
      <c r="F37">
        <v>763</v>
      </c>
      <c r="G37">
        <v>5585</v>
      </c>
      <c r="H37">
        <v>874</v>
      </c>
      <c r="I37">
        <v>6256</v>
      </c>
      <c r="J37">
        <v>203</v>
      </c>
      <c r="K37">
        <v>969</v>
      </c>
      <c r="L37">
        <v>92</v>
      </c>
      <c r="M37">
        <v>298</v>
      </c>
      <c r="N37">
        <v>469</v>
      </c>
      <c r="O37">
        <v>3919</v>
      </c>
      <c r="P37">
        <v>649</v>
      </c>
      <c r="Q37">
        <v>4652</v>
      </c>
      <c r="R37">
        <v>474</v>
      </c>
      <c r="S37">
        <v>3949</v>
      </c>
      <c r="T37">
        <v>652</v>
      </c>
      <c r="U37">
        <v>4660</v>
      </c>
      <c r="V37">
        <v>254</v>
      </c>
      <c r="W37">
        <v>887</v>
      </c>
      <c r="X37">
        <v>76</v>
      </c>
      <c r="Y37">
        <v>176</v>
      </c>
    </row>
    <row r="38" spans="1:25" x14ac:dyDescent="0.25">
      <c r="A38">
        <v>4</v>
      </c>
      <c r="B38">
        <v>1486</v>
      </c>
      <c r="C38">
        <v>9120</v>
      </c>
      <c r="D38">
        <v>1870</v>
      </c>
      <c r="E38">
        <v>11035</v>
      </c>
      <c r="F38">
        <v>1495</v>
      </c>
      <c r="G38">
        <v>9174</v>
      </c>
      <c r="H38">
        <v>1876</v>
      </c>
      <c r="I38">
        <v>11049</v>
      </c>
      <c r="J38">
        <v>749</v>
      </c>
      <c r="K38">
        <v>2614</v>
      </c>
      <c r="L38">
        <v>368</v>
      </c>
      <c r="M38">
        <v>739</v>
      </c>
      <c r="N38">
        <v>1054</v>
      </c>
      <c r="O38">
        <v>8595</v>
      </c>
      <c r="P38">
        <v>1609</v>
      </c>
      <c r="Q38">
        <v>10717</v>
      </c>
      <c r="R38">
        <v>1067</v>
      </c>
      <c r="S38">
        <v>8668</v>
      </c>
      <c r="T38">
        <v>1613</v>
      </c>
      <c r="U38">
        <v>10733</v>
      </c>
      <c r="V38">
        <v>816</v>
      </c>
      <c r="W38">
        <v>2679</v>
      </c>
      <c r="X38">
        <v>270</v>
      </c>
      <c r="Y38">
        <v>614</v>
      </c>
    </row>
    <row r="39" spans="1:25" x14ac:dyDescent="0.25">
      <c r="A39">
        <v>5</v>
      </c>
      <c r="B39">
        <v>5509</v>
      </c>
      <c r="C39">
        <v>21231</v>
      </c>
      <c r="D39">
        <v>7901</v>
      </c>
      <c r="E39">
        <v>29110</v>
      </c>
      <c r="F39">
        <v>5551</v>
      </c>
      <c r="G39">
        <v>21366</v>
      </c>
      <c r="H39">
        <v>7915</v>
      </c>
      <c r="I39">
        <v>29141</v>
      </c>
      <c r="J39">
        <v>3381</v>
      </c>
      <c r="K39">
        <v>10651</v>
      </c>
      <c r="L39">
        <v>1017</v>
      </c>
      <c r="M39">
        <v>2876</v>
      </c>
      <c r="N39">
        <v>5533</v>
      </c>
      <c r="O39">
        <v>19543</v>
      </c>
      <c r="P39">
        <v>8930</v>
      </c>
      <c r="Q39">
        <v>28634</v>
      </c>
      <c r="R39">
        <v>5582</v>
      </c>
      <c r="S39">
        <v>19691</v>
      </c>
      <c r="T39">
        <v>8944</v>
      </c>
      <c r="U39">
        <v>28670</v>
      </c>
      <c r="V39">
        <v>4722</v>
      </c>
      <c r="W39">
        <v>11753</v>
      </c>
      <c r="X39">
        <v>1360</v>
      </c>
      <c r="Y39">
        <v>2774</v>
      </c>
    </row>
    <row r="40" spans="1:25" x14ac:dyDescent="0.25">
      <c r="A40">
        <v>6</v>
      </c>
      <c r="B40">
        <v>9712</v>
      </c>
      <c r="C40">
        <v>23963</v>
      </c>
      <c r="D40">
        <v>17342</v>
      </c>
      <c r="E40">
        <v>41069</v>
      </c>
      <c r="F40">
        <v>9747</v>
      </c>
      <c r="G40">
        <v>24104</v>
      </c>
      <c r="H40">
        <v>17367</v>
      </c>
      <c r="I40">
        <v>41121</v>
      </c>
      <c r="J40">
        <v>11648</v>
      </c>
      <c r="K40">
        <v>24515</v>
      </c>
      <c r="L40">
        <v>4028</v>
      </c>
      <c r="M40">
        <v>7498</v>
      </c>
      <c r="N40">
        <v>9453</v>
      </c>
      <c r="O40">
        <v>22087</v>
      </c>
      <c r="P40">
        <v>19288</v>
      </c>
      <c r="Q40">
        <v>41521</v>
      </c>
      <c r="R40">
        <v>9544</v>
      </c>
      <c r="S40">
        <v>22284</v>
      </c>
      <c r="T40">
        <v>19327</v>
      </c>
      <c r="U40">
        <v>41577</v>
      </c>
      <c r="V40">
        <v>15303</v>
      </c>
      <c r="W40">
        <v>26769</v>
      </c>
      <c r="X40">
        <v>5520</v>
      </c>
      <c r="Y40">
        <v>7476</v>
      </c>
    </row>
    <row r="41" spans="1:25" x14ac:dyDescent="0.25">
      <c r="A41">
        <v>7</v>
      </c>
      <c r="B41">
        <v>7790</v>
      </c>
      <c r="C41">
        <v>15270</v>
      </c>
      <c r="D41">
        <v>14533</v>
      </c>
      <c r="E41">
        <v>28201</v>
      </c>
      <c r="F41">
        <v>7809</v>
      </c>
      <c r="G41">
        <v>15332</v>
      </c>
      <c r="H41">
        <v>14550</v>
      </c>
      <c r="I41">
        <v>28235</v>
      </c>
      <c r="J41">
        <v>12836</v>
      </c>
      <c r="K41">
        <v>21546</v>
      </c>
      <c r="L41">
        <v>6095</v>
      </c>
      <c r="M41">
        <v>8643</v>
      </c>
      <c r="N41">
        <v>5035</v>
      </c>
      <c r="O41">
        <v>8896</v>
      </c>
      <c r="P41">
        <v>12735</v>
      </c>
      <c r="Q41">
        <v>21285</v>
      </c>
      <c r="R41">
        <v>5079</v>
      </c>
      <c r="S41">
        <v>8967</v>
      </c>
      <c r="T41">
        <v>12765</v>
      </c>
      <c r="U41">
        <v>21339</v>
      </c>
      <c r="V41">
        <v>14391</v>
      </c>
      <c r="W41">
        <v>18965</v>
      </c>
      <c r="X41">
        <v>6705</v>
      </c>
      <c r="Y41">
        <v>6593</v>
      </c>
    </row>
    <row r="42" spans="1:25" x14ac:dyDescent="0.25">
      <c r="A42">
        <v>8</v>
      </c>
      <c r="B42">
        <v>1854</v>
      </c>
      <c r="C42">
        <v>2008</v>
      </c>
      <c r="D42">
        <v>4592</v>
      </c>
      <c r="E42">
        <v>5209</v>
      </c>
      <c r="F42">
        <v>1858</v>
      </c>
      <c r="G42">
        <v>2010</v>
      </c>
      <c r="H42">
        <v>4596</v>
      </c>
      <c r="I42">
        <v>5222</v>
      </c>
      <c r="J42">
        <v>7411</v>
      </c>
      <c r="K42">
        <v>7292</v>
      </c>
      <c r="L42">
        <v>4673</v>
      </c>
      <c r="M42">
        <v>4080</v>
      </c>
      <c r="N42">
        <v>890</v>
      </c>
      <c r="O42">
        <v>897</v>
      </c>
      <c r="P42">
        <v>2967</v>
      </c>
      <c r="Q42">
        <v>2935</v>
      </c>
      <c r="R42">
        <v>902</v>
      </c>
      <c r="S42">
        <v>903</v>
      </c>
      <c r="T42">
        <v>2976</v>
      </c>
      <c r="U42">
        <v>2947</v>
      </c>
      <c r="V42">
        <v>4775</v>
      </c>
      <c r="W42">
        <v>3760</v>
      </c>
      <c r="X42">
        <v>2701</v>
      </c>
      <c r="Y42">
        <v>1716</v>
      </c>
    </row>
    <row r="43" spans="1:25" x14ac:dyDescent="0.25">
      <c r="A43">
        <v>9</v>
      </c>
      <c r="B43">
        <v>2085</v>
      </c>
      <c r="C43">
        <v>4055</v>
      </c>
      <c r="D43">
        <v>6051</v>
      </c>
      <c r="E43">
        <v>11051</v>
      </c>
      <c r="F43">
        <v>2103</v>
      </c>
      <c r="G43">
        <v>4078</v>
      </c>
      <c r="H43">
        <v>6066</v>
      </c>
      <c r="I43">
        <v>11067</v>
      </c>
      <c r="J43">
        <v>6186</v>
      </c>
      <c r="K43">
        <v>10202</v>
      </c>
      <c r="L43">
        <v>2223</v>
      </c>
      <c r="M43">
        <v>3213</v>
      </c>
      <c r="N43">
        <v>2652</v>
      </c>
      <c r="O43">
        <v>3609</v>
      </c>
      <c r="P43">
        <v>8060</v>
      </c>
      <c r="Q43">
        <v>11292</v>
      </c>
      <c r="R43">
        <v>2707</v>
      </c>
      <c r="S43">
        <v>3687</v>
      </c>
      <c r="T43">
        <v>8080</v>
      </c>
      <c r="U43">
        <v>11317</v>
      </c>
      <c r="V43">
        <v>9392</v>
      </c>
      <c r="W43">
        <v>11929</v>
      </c>
      <c r="X43">
        <v>4019</v>
      </c>
      <c r="Y43">
        <v>4299</v>
      </c>
    </row>
    <row r="44" spans="1:25" x14ac:dyDescent="0.25">
      <c r="A44">
        <v>10</v>
      </c>
      <c r="B44">
        <v>1017</v>
      </c>
      <c r="C44">
        <v>1650</v>
      </c>
      <c r="D44">
        <v>3000</v>
      </c>
      <c r="E44">
        <v>4047</v>
      </c>
      <c r="F44">
        <v>1023</v>
      </c>
      <c r="G44">
        <v>1661</v>
      </c>
      <c r="H44">
        <v>3006</v>
      </c>
      <c r="I44">
        <v>4052</v>
      </c>
      <c r="J44">
        <v>2774</v>
      </c>
      <c r="K44">
        <v>3104</v>
      </c>
      <c r="L44">
        <v>791</v>
      </c>
      <c r="M44">
        <v>713</v>
      </c>
      <c r="N44">
        <v>2745</v>
      </c>
      <c r="O44">
        <v>2021</v>
      </c>
      <c r="P44">
        <v>5703</v>
      </c>
      <c r="Q44">
        <v>4201</v>
      </c>
      <c r="R44">
        <v>2809</v>
      </c>
      <c r="S44">
        <v>2070</v>
      </c>
      <c r="T44">
        <v>5725</v>
      </c>
      <c r="U44">
        <v>4212</v>
      </c>
      <c r="V44">
        <v>4684</v>
      </c>
      <c r="W44">
        <v>3203</v>
      </c>
      <c r="X44">
        <v>1768</v>
      </c>
      <c r="Y44">
        <v>1061</v>
      </c>
    </row>
    <row r="45" spans="1:25" x14ac:dyDescent="0.25">
      <c r="A45" t="s">
        <v>1</v>
      </c>
      <c r="B45">
        <f>SUM(B35:B44)</f>
        <v>31160</v>
      </c>
      <c r="C45">
        <f t="shared" ref="C45:M45" si="2">SUM(C35:C44)</f>
        <v>90086</v>
      </c>
      <c r="D45">
        <f t="shared" si="2"/>
        <v>57195</v>
      </c>
      <c r="E45">
        <f t="shared" si="2"/>
        <v>143659</v>
      </c>
      <c r="F45">
        <f t="shared" si="2"/>
        <v>31301</v>
      </c>
      <c r="G45">
        <f t="shared" si="2"/>
        <v>90579</v>
      </c>
      <c r="H45">
        <f t="shared" si="2"/>
        <v>57286</v>
      </c>
      <c r="I45">
        <f t="shared" si="2"/>
        <v>143831</v>
      </c>
      <c r="J45">
        <f t="shared" si="2"/>
        <v>45320</v>
      </c>
      <c r="K45">
        <f t="shared" si="2"/>
        <v>81513</v>
      </c>
      <c r="L45">
        <f t="shared" si="2"/>
        <v>19335</v>
      </c>
      <c r="M45">
        <f t="shared" si="2"/>
        <v>28261</v>
      </c>
      <c r="N45">
        <f>SUM(N35:N44)</f>
        <v>28227</v>
      </c>
      <c r="O45">
        <f t="shared" ref="O45:Y45" si="3">SUM(O35:O44)</f>
        <v>73459</v>
      </c>
      <c r="P45">
        <f t="shared" si="3"/>
        <v>60429</v>
      </c>
      <c r="Q45">
        <f t="shared" si="3"/>
        <v>129552</v>
      </c>
      <c r="R45">
        <f t="shared" si="3"/>
        <v>28564</v>
      </c>
      <c r="S45">
        <f t="shared" si="3"/>
        <v>74134</v>
      </c>
      <c r="T45">
        <f t="shared" si="3"/>
        <v>60571</v>
      </c>
      <c r="U45">
        <f t="shared" si="3"/>
        <v>129772</v>
      </c>
      <c r="V45">
        <f t="shared" si="3"/>
        <v>54459</v>
      </c>
      <c r="W45">
        <f t="shared" si="3"/>
        <v>80459</v>
      </c>
      <c r="X45">
        <f t="shared" si="3"/>
        <v>22452</v>
      </c>
      <c r="Y45">
        <f t="shared" si="3"/>
        <v>24821</v>
      </c>
    </row>
    <row r="52" spans="1:25" x14ac:dyDescent="0.25">
      <c r="A52" s="1" t="s">
        <v>16</v>
      </c>
      <c r="B52" s="1"/>
      <c r="C52" s="1"/>
      <c r="D52" s="1"/>
      <c r="E52" s="1"/>
    </row>
    <row r="54" spans="1:25" x14ac:dyDescent="0.25">
      <c r="B54" t="s">
        <v>0</v>
      </c>
      <c r="N54" t="s">
        <v>17</v>
      </c>
    </row>
    <row r="55" spans="1:25" x14ac:dyDescent="0.25">
      <c r="B55" t="s">
        <v>8</v>
      </c>
      <c r="D55" t="s">
        <v>6</v>
      </c>
      <c r="F55" t="s">
        <v>9</v>
      </c>
      <c r="H55" t="s">
        <v>7</v>
      </c>
      <c r="J55" t="s">
        <v>10</v>
      </c>
      <c r="L55" t="s">
        <v>11</v>
      </c>
      <c r="N55" t="s">
        <v>8</v>
      </c>
      <c r="P55" t="s">
        <v>6</v>
      </c>
      <c r="R55" t="s">
        <v>9</v>
      </c>
      <c r="T55" t="s">
        <v>7</v>
      </c>
      <c r="V55" t="s">
        <v>10</v>
      </c>
      <c r="X55" t="s">
        <v>11</v>
      </c>
    </row>
    <row r="56" spans="1:25" x14ac:dyDescent="0.25">
      <c r="A56" t="s">
        <v>4</v>
      </c>
      <c r="B56" t="s">
        <v>2</v>
      </c>
      <c r="C56" t="s">
        <v>3</v>
      </c>
      <c r="D56" t="s">
        <v>2</v>
      </c>
      <c r="E56" t="s">
        <v>3</v>
      </c>
      <c r="F56" t="s">
        <v>2</v>
      </c>
      <c r="G56" t="s">
        <v>3</v>
      </c>
      <c r="H56" t="s">
        <v>2</v>
      </c>
      <c r="I56" t="s">
        <v>3</v>
      </c>
      <c r="J56" t="s">
        <v>2</v>
      </c>
      <c r="K56" t="s">
        <v>3</v>
      </c>
      <c r="L56" t="s">
        <v>2</v>
      </c>
      <c r="M56" t="s">
        <v>3</v>
      </c>
      <c r="N56" t="s">
        <v>2</v>
      </c>
      <c r="O56" t="s">
        <v>3</v>
      </c>
      <c r="P56" t="s">
        <v>2</v>
      </c>
      <c r="Q56" t="s">
        <v>3</v>
      </c>
      <c r="R56" t="s">
        <v>2</v>
      </c>
      <c r="S56" t="s">
        <v>3</v>
      </c>
      <c r="T56" t="s">
        <v>2</v>
      </c>
      <c r="U56" t="s">
        <v>3</v>
      </c>
      <c r="V56" t="s">
        <v>2</v>
      </c>
      <c r="W56" t="s">
        <v>3</v>
      </c>
      <c r="X56" t="s">
        <v>2</v>
      </c>
      <c r="Y56" t="s">
        <v>3</v>
      </c>
    </row>
    <row r="57" spans="1:25" x14ac:dyDescent="0.25">
      <c r="A57">
        <v>1</v>
      </c>
      <c r="B57">
        <v>696</v>
      </c>
      <c r="C57">
        <v>3912</v>
      </c>
      <c r="D57">
        <v>733</v>
      </c>
      <c r="E57">
        <v>4116</v>
      </c>
      <c r="F57">
        <v>699</v>
      </c>
      <c r="G57">
        <v>3933</v>
      </c>
      <c r="H57">
        <v>734</v>
      </c>
      <c r="I57">
        <v>4118</v>
      </c>
      <c r="J57">
        <v>53</v>
      </c>
      <c r="K57">
        <v>272</v>
      </c>
      <c r="L57">
        <v>18</v>
      </c>
      <c r="M57">
        <v>87</v>
      </c>
      <c r="N57">
        <v>258</v>
      </c>
      <c r="O57">
        <v>2051</v>
      </c>
      <c r="P57">
        <v>299</v>
      </c>
      <c r="Q57">
        <v>2201</v>
      </c>
      <c r="R57">
        <v>259</v>
      </c>
      <c r="S57">
        <v>2062</v>
      </c>
      <c r="T57">
        <v>299</v>
      </c>
      <c r="U57">
        <v>2202</v>
      </c>
      <c r="V57">
        <v>52</v>
      </c>
      <c r="W57">
        <v>185</v>
      </c>
      <c r="X57">
        <v>12</v>
      </c>
      <c r="Y57">
        <v>45</v>
      </c>
    </row>
    <row r="58" spans="1:25" x14ac:dyDescent="0.25">
      <c r="A58">
        <v>2</v>
      </c>
      <c r="B58">
        <v>795</v>
      </c>
      <c r="C58">
        <v>4474</v>
      </c>
      <c r="D58">
        <v>891</v>
      </c>
      <c r="E58">
        <v>4849</v>
      </c>
      <c r="F58">
        <v>800</v>
      </c>
      <c r="G58">
        <v>4506</v>
      </c>
      <c r="H58">
        <v>891</v>
      </c>
      <c r="I58">
        <v>4851</v>
      </c>
      <c r="J58">
        <v>132</v>
      </c>
      <c r="K58">
        <v>495</v>
      </c>
      <c r="L58">
        <v>41</v>
      </c>
      <c r="M58">
        <v>150</v>
      </c>
      <c r="N58">
        <v>459</v>
      </c>
      <c r="O58">
        <v>3231</v>
      </c>
      <c r="P58">
        <v>575</v>
      </c>
      <c r="Q58">
        <v>3631</v>
      </c>
      <c r="R58">
        <v>464</v>
      </c>
      <c r="S58">
        <v>3249</v>
      </c>
      <c r="T58">
        <v>576</v>
      </c>
      <c r="U58">
        <v>3635</v>
      </c>
      <c r="V58">
        <v>141</v>
      </c>
      <c r="W58">
        <v>472</v>
      </c>
      <c r="X58">
        <v>29</v>
      </c>
      <c r="Y58">
        <v>86</v>
      </c>
    </row>
    <row r="59" spans="1:25" x14ac:dyDescent="0.25">
      <c r="A59">
        <v>3</v>
      </c>
      <c r="B59">
        <v>1183</v>
      </c>
      <c r="C59">
        <v>6419</v>
      </c>
      <c r="D59">
        <v>1390</v>
      </c>
      <c r="E59">
        <v>7355</v>
      </c>
      <c r="F59">
        <v>1190</v>
      </c>
      <c r="G59">
        <v>6454</v>
      </c>
      <c r="H59">
        <v>1394</v>
      </c>
      <c r="I59">
        <v>7360</v>
      </c>
      <c r="J59">
        <v>306</v>
      </c>
      <c r="K59">
        <v>1250</v>
      </c>
      <c r="L59">
        <v>102</v>
      </c>
      <c r="M59">
        <v>344</v>
      </c>
      <c r="N59">
        <v>809</v>
      </c>
      <c r="O59">
        <v>5170</v>
      </c>
      <c r="P59">
        <v>1106</v>
      </c>
      <c r="Q59">
        <v>6133</v>
      </c>
      <c r="R59">
        <v>819</v>
      </c>
      <c r="S59">
        <v>5206</v>
      </c>
      <c r="T59">
        <v>1110</v>
      </c>
      <c r="U59">
        <v>6141</v>
      </c>
      <c r="V59">
        <v>377</v>
      </c>
      <c r="W59">
        <v>1147</v>
      </c>
      <c r="X59">
        <v>86</v>
      </c>
      <c r="Y59">
        <v>212</v>
      </c>
    </row>
    <row r="60" spans="1:25" x14ac:dyDescent="0.25">
      <c r="A60">
        <v>4</v>
      </c>
      <c r="B60">
        <v>2323</v>
      </c>
      <c r="C60">
        <v>10830</v>
      </c>
      <c r="D60">
        <v>2944</v>
      </c>
      <c r="E60">
        <v>13352</v>
      </c>
      <c r="F60">
        <v>2335</v>
      </c>
      <c r="G60">
        <v>10912</v>
      </c>
      <c r="H60">
        <v>2952</v>
      </c>
      <c r="I60">
        <v>13371</v>
      </c>
      <c r="J60">
        <v>1013</v>
      </c>
      <c r="K60">
        <v>3317</v>
      </c>
      <c r="L60">
        <v>396</v>
      </c>
      <c r="M60">
        <v>858</v>
      </c>
      <c r="N60">
        <v>1853</v>
      </c>
      <c r="O60">
        <v>9374</v>
      </c>
      <c r="P60">
        <v>2830</v>
      </c>
      <c r="Q60">
        <v>12207</v>
      </c>
      <c r="R60">
        <v>1876</v>
      </c>
      <c r="S60">
        <v>9463</v>
      </c>
      <c r="T60">
        <v>2841</v>
      </c>
      <c r="U60">
        <v>12224</v>
      </c>
      <c r="V60">
        <v>1290</v>
      </c>
      <c r="W60">
        <v>3481</v>
      </c>
      <c r="X60">
        <v>325</v>
      </c>
      <c r="Y60">
        <v>720</v>
      </c>
    </row>
    <row r="61" spans="1:25" x14ac:dyDescent="0.25">
      <c r="A61">
        <v>5</v>
      </c>
      <c r="B61">
        <v>5984</v>
      </c>
      <c r="C61">
        <v>23447</v>
      </c>
      <c r="D61">
        <v>8827</v>
      </c>
      <c r="E61">
        <v>33742</v>
      </c>
      <c r="F61">
        <v>6027</v>
      </c>
      <c r="G61">
        <v>23636</v>
      </c>
      <c r="H61">
        <v>8842</v>
      </c>
      <c r="I61">
        <v>33787</v>
      </c>
      <c r="J61">
        <v>3962</v>
      </c>
      <c r="K61">
        <v>13559</v>
      </c>
      <c r="L61">
        <v>1147</v>
      </c>
      <c r="M61">
        <v>3408</v>
      </c>
      <c r="N61">
        <v>5935</v>
      </c>
      <c r="O61">
        <v>21630</v>
      </c>
      <c r="P61">
        <v>10085</v>
      </c>
      <c r="Q61">
        <v>33893</v>
      </c>
      <c r="R61">
        <v>5993</v>
      </c>
      <c r="S61">
        <v>21813</v>
      </c>
      <c r="T61">
        <v>10103</v>
      </c>
      <c r="U61">
        <v>33939</v>
      </c>
      <c r="V61">
        <v>5664</v>
      </c>
      <c r="W61">
        <v>15536</v>
      </c>
      <c r="X61">
        <v>1554</v>
      </c>
      <c r="Y61">
        <v>3410</v>
      </c>
    </row>
    <row r="62" spans="1:25" x14ac:dyDescent="0.25">
      <c r="A62">
        <v>6</v>
      </c>
      <c r="B62">
        <v>10930</v>
      </c>
      <c r="C62">
        <v>27726</v>
      </c>
      <c r="D62">
        <v>21017</v>
      </c>
      <c r="E62">
        <v>51807</v>
      </c>
      <c r="F62">
        <v>10979</v>
      </c>
      <c r="G62">
        <v>27966</v>
      </c>
      <c r="H62">
        <v>21050</v>
      </c>
      <c r="I62">
        <v>51881</v>
      </c>
      <c r="J62">
        <v>15053</v>
      </c>
      <c r="K62">
        <v>33932</v>
      </c>
      <c r="L62">
        <v>4982</v>
      </c>
      <c r="M62">
        <v>10017</v>
      </c>
      <c r="N62">
        <v>10447</v>
      </c>
      <c r="O62">
        <v>25231</v>
      </c>
      <c r="P62">
        <v>23909</v>
      </c>
      <c r="Q62">
        <v>54532</v>
      </c>
      <c r="R62">
        <v>10552</v>
      </c>
      <c r="S62">
        <v>25479</v>
      </c>
      <c r="T62">
        <v>23957</v>
      </c>
      <c r="U62">
        <v>54612</v>
      </c>
      <c r="V62">
        <v>20305</v>
      </c>
      <c r="W62">
        <v>40357</v>
      </c>
      <c r="X62">
        <v>6900</v>
      </c>
      <c r="Y62">
        <v>11224</v>
      </c>
    </row>
    <row r="63" spans="1:25" x14ac:dyDescent="0.25">
      <c r="A63">
        <v>7</v>
      </c>
      <c r="B63">
        <v>8815</v>
      </c>
      <c r="C63">
        <v>17530</v>
      </c>
      <c r="D63">
        <v>16893</v>
      </c>
      <c r="E63">
        <v>33206</v>
      </c>
      <c r="F63">
        <v>8846</v>
      </c>
      <c r="G63">
        <v>17631</v>
      </c>
      <c r="H63">
        <v>16910</v>
      </c>
      <c r="I63">
        <v>33263</v>
      </c>
      <c r="J63">
        <v>15139</v>
      </c>
      <c r="K63">
        <v>25784</v>
      </c>
      <c r="L63">
        <v>7075</v>
      </c>
      <c r="M63">
        <v>10152</v>
      </c>
      <c r="N63">
        <v>5330</v>
      </c>
      <c r="O63">
        <v>9858</v>
      </c>
      <c r="P63">
        <v>14618</v>
      </c>
      <c r="Q63">
        <v>26051</v>
      </c>
      <c r="R63">
        <v>5376</v>
      </c>
      <c r="S63">
        <v>9958</v>
      </c>
      <c r="T63">
        <v>14653</v>
      </c>
      <c r="U63">
        <v>26118</v>
      </c>
      <c r="V63">
        <v>17142</v>
      </c>
      <c r="W63">
        <v>24879</v>
      </c>
      <c r="X63">
        <v>7865</v>
      </c>
      <c r="Y63">
        <v>8719</v>
      </c>
    </row>
    <row r="64" spans="1:25" x14ac:dyDescent="0.25">
      <c r="A64">
        <v>8</v>
      </c>
      <c r="B64">
        <v>1974</v>
      </c>
      <c r="C64">
        <v>2250</v>
      </c>
      <c r="D64">
        <v>5168</v>
      </c>
      <c r="E64">
        <v>5857</v>
      </c>
      <c r="F64">
        <v>1978</v>
      </c>
      <c r="G64">
        <v>2255</v>
      </c>
      <c r="H64">
        <v>5173</v>
      </c>
      <c r="I64">
        <v>5874</v>
      </c>
      <c r="J64">
        <v>8302</v>
      </c>
      <c r="K64">
        <v>7604</v>
      </c>
      <c r="L64">
        <v>5107</v>
      </c>
      <c r="M64">
        <v>3985</v>
      </c>
      <c r="N64">
        <v>998</v>
      </c>
      <c r="O64">
        <v>1145</v>
      </c>
      <c r="P64">
        <v>3802</v>
      </c>
      <c r="Q64">
        <v>4477</v>
      </c>
      <c r="R64">
        <v>1013</v>
      </c>
      <c r="S64">
        <v>1152</v>
      </c>
      <c r="T64">
        <v>3808</v>
      </c>
      <c r="U64">
        <v>4491</v>
      </c>
      <c r="V64">
        <v>6155</v>
      </c>
      <c r="W64">
        <v>5756</v>
      </c>
      <c r="X64">
        <v>3360</v>
      </c>
      <c r="Y64">
        <v>2417</v>
      </c>
    </row>
    <row r="65" spans="1:25" x14ac:dyDescent="0.25">
      <c r="A65">
        <v>9</v>
      </c>
      <c r="B65">
        <v>2365</v>
      </c>
      <c r="C65">
        <v>4694</v>
      </c>
      <c r="D65">
        <v>7490</v>
      </c>
      <c r="E65">
        <v>13942</v>
      </c>
      <c r="F65">
        <v>2385</v>
      </c>
      <c r="G65">
        <v>4730</v>
      </c>
      <c r="H65">
        <v>7507</v>
      </c>
      <c r="I65">
        <v>13965</v>
      </c>
      <c r="J65">
        <v>7731</v>
      </c>
      <c r="K65">
        <v>13233</v>
      </c>
      <c r="L65">
        <v>2609</v>
      </c>
      <c r="M65">
        <v>3998</v>
      </c>
      <c r="N65">
        <v>2894</v>
      </c>
      <c r="O65">
        <v>4028</v>
      </c>
      <c r="P65">
        <v>9759</v>
      </c>
      <c r="Q65">
        <v>15192</v>
      </c>
      <c r="R65">
        <v>2952</v>
      </c>
      <c r="S65">
        <v>4123</v>
      </c>
      <c r="T65">
        <v>9786</v>
      </c>
      <c r="U65">
        <v>15229</v>
      </c>
      <c r="V65">
        <v>11881</v>
      </c>
      <c r="W65">
        <v>17249</v>
      </c>
      <c r="X65">
        <v>5047</v>
      </c>
      <c r="Y65">
        <v>6143</v>
      </c>
    </row>
    <row r="66" spans="1:25" x14ac:dyDescent="0.25">
      <c r="A66">
        <v>10</v>
      </c>
      <c r="B66">
        <v>1125</v>
      </c>
      <c r="C66">
        <v>1918</v>
      </c>
      <c r="D66">
        <v>3445</v>
      </c>
      <c r="E66">
        <v>4803</v>
      </c>
      <c r="F66">
        <v>1133</v>
      </c>
      <c r="G66">
        <v>1932</v>
      </c>
      <c r="H66">
        <v>3452</v>
      </c>
      <c r="I66">
        <v>4812</v>
      </c>
      <c r="J66">
        <v>3242</v>
      </c>
      <c r="K66">
        <v>3714</v>
      </c>
      <c r="L66">
        <v>923</v>
      </c>
      <c r="M66">
        <v>834</v>
      </c>
      <c r="N66">
        <v>3066</v>
      </c>
      <c r="O66">
        <v>2286</v>
      </c>
      <c r="P66">
        <v>6969</v>
      </c>
      <c r="Q66">
        <v>5508</v>
      </c>
      <c r="R66">
        <v>3136</v>
      </c>
      <c r="S66">
        <v>2340</v>
      </c>
      <c r="T66">
        <v>6999</v>
      </c>
      <c r="U66">
        <v>5524</v>
      </c>
      <c r="V66">
        <v>6114</v>
      </c>
      <c r="W66">
        <v>4606</v>
      </c>
      <c r="X66">
        <v>2251</v>
      </c>
      <c r="Y66">
        <v>1422</v>
      </c>
    </row>
    <row r="67" spans="1:25" x14ac:dyDescent="0.25">
      <c r="A67" t="s">
        <v>1</v>
      </c>
      <c r="B67">
        <f>SUM(B57:B66)</f>
        <v>36190</v>
      </c>
      <c r="C67">
        <f t="shared" ref="C67:M67" si="4">SUM(C57:C66)</f>
        <v>103200</v>
      </c>
      <c r="D67">
        <f t="shared" si="4"/>
        <v>68798</v>
      </c>
      <c r="E67">
        <f t="shared" si="4"/>
        <v>173029</v>
      </c>
      <c r="F67">
        <f t="shared" si="4"/>
        <v>36372</v>
      </c>
      <c r="G67">
        <f t="shared" si="4"/>
        <v>103955</v>
      </c>
      <c r="H67">
        <f t="shared" si="4"/>
        <v>68905</v>
      </c>
      <c r="I67">
        <f t="shared" si="4"/>
        <v>173282</v>
      </c>
      <c r="J67">
        <f t="shared" si="4"/>
        <v>54933</v>
      </c>
      <c r="K67">
        <f t="shared" si="4"/>
        <v>103160</v>
      </c>
      <c r="L67">
        <f t="shared" si="4"/>
        <v>22400</v>
      </c>
      <c r="M67">
        <f t="shared" si="4"/>
        <v>33833</v>
      </c>
      <c r="N67">
        <f>SUM(N57:N66)</f>
        <v>32049</v>
      </c>
      <c r="O67">
        <f t="shared" ref="O67:Y67" si="5">SUM(O57:O66)</f>
        <v>84004</v>
      </c>
      <c r="P67">
        <f t="shared" si="5"/>
        <v>73952</v>
      </c>
      <c r="Q67">
        <f t="shared" si="5"/>
        <v>163825</v>
      </c>
      <c r="R67">
        <f t="shared" si="5"/>
        <v>32440</v>
      </c>
      <c r="S67">
        <f t="shared" si="5"/>
        <v>84845</v>
      </c>
      <c r="T67">
        <f t="shared" si="5"/>
        <v>74132</v>
      </c>
      <c r="U67">
        <f t="shared" si="5"/>
        <v>164115</v>
      </c>
      <c r="V67">
        <f t="shared" si="5"/>
        <v>69121</v>
      </c>
      <c r="W67">
        <f t="shared" si="5"/>
        <v>113668</v>
      </c>
      <c r="X67">
        <f t="shared" si="5"/>
        <v>27429</v>
      </c>
      <c r="Y67">
        <f t="shared" si="5"/>
        <v>34398</v>
      </c>
    </row>
    <row r="71" spans="1:25" x14ac:dyDescent="0.25">
      <c r="A71" s="1" t="s">
        <v>21</v>
      </c>
      <c r="B71" s="1"/>
      <c r="C71" s="1"/>
      <c r="D71" s="1"/>
      <c r="E71" s="1"/>
    </row>
    <row r="73" spans="1:25" x14ac:dyDescent="0.25">
      <c r="B73" t="s">
        <v>0</v>
      </c>
      <c r="N73" t="s">
        <v>17</v>
      </c>
    </row>
    <row r="74" spans="1:25" x14ac:dyDescent="0.25">
      <c r="B74" t="s">
        <v>8</v>
      </c>
      <c r="D74" t="s">
        <v>6</v>
      </c>
      <c r="F74" t="s">
        <v>9</v>
      </c>
      <c r="H74" t="s">
        <v>7</v>
      </c>
      <c r="J74" t="s">
        <v>10</v>
      </c>
      <c r="L74" t="s">
        <v>11</v>
      </c>
      <c r="N74" t="s">
        <v>8</v>
      </c>
      <c r="P74" t="s">
        <v>6</v>
      </c>
      <c r="R74" t="s">
        <v>9</v>
      </c>
      <c r="T74" t="s">
        <v>7</v>
      </c>
      <c r="V74" t="s">
        <v>10</v>
      </c>
      <c r="X74" t="s">
        <v>11</v>
      </c>
    </row>
    <row r="75" spans="1:25" x14ac:dyDescent="0.25">
      <c r="A75" t="s">
        <v>4</v>
      </c>
      <c r="B75" t="s">
        <v>2</v>
      </c>
      <c r="C75" t="s">
        <v>3</v>
      </c>
      <c r="D75" t="s">
        <v>2</v>
      </c>
      <c r="E75" t="s">
        <v>3</v>
      </c>
      <c r="F75" t="s">
        <v>2</v>
      </c>
      <c r="G75" t="s">
        <v>3</v>
      </c>
      <c r="H75" t="s">
        <v>2</v>
      </c>
      <c r="I75" t="s">
        <v>3</v>
      </c>
      <c r="J75" t="s">
        <v>2</v>
      </c>
      <c r="K75" t="s">
        <v>3</v>
      </c>
      <c r="L75" t="s">
        <v>2</v>
      </c>
      <c r="M75" t="s">
        <v>3</v>
      </c>
      <c r="N75" t="s">
        <v>2</v>
      </c>
      <c r="O75" t="s">
        <v>3</v>
      </c>
      <c r="P75" t="s">
        <v>2</v>
      </c>
      <c r="Q75" t="s">
        <v>3</v>
      </c>
      <c r="R75" t="s">
        <v>2</v>
      </c>
      <c r="S75" t="s">
        <v>3</v>
      </c>
      <c r="T75" t="s">
        <v>2</v>
      </c>
      <c r="U75" t="s">
        <v>3</v>
      </c>
      <c r="V75" t="s">
        <v>2</v>
      </c>
      <c r="W75" t="s">
        <v>3</v>
      </c>
      <c r="X75" t="s">
        <v>2</v>
      </c>
      <c r="Y75" t="s">
        <v>3</v>
      </c>
    </row>
    <row r="76" spans="1:25" x14ac:dyDescent="0.25">
      <c r="A76">
        <v>1</v>
      </c>
      <c r="B76">
        <v>436</v>
      </c>
      <c r="C76">
        <v>3369</v>
      </c>
      <c r="D76">
        <v>460</v>
      </c>
      <c r="E76">
        <v>3533</v>
      </c>
      <c r="F76">
        <v>439</v>
      </c>
      <c r="G76">
        <v>3386</v>
      </c>
      <c r="H76">
        <v>461</v>
      </c>
      <c r="I76">
        <v>3535</v>
      </c>
      <c r="J76">
        <v>37</v>
      </c>
      <c r="K76">
        <v>226</v>
      </c>
      <c r="L76">
        <v>15</v>
      </c>
      <c r="M76">
        <v>77</v>
      </c>
      <c r="N76">
        <v>144</v>
      </c>
      <c r="O76">
        <v>1512</v>
      </c>
      <c r="P76">
        <v>168</v>
      </c>
      <c r="Q76">
        <v>1629</v>
      </c>
      <c r="R76">
        <v>145</v>
      </c>
      <c r="S76">
        <v>1521</v>
      </c>
      <c r="T76">
        <v>168</v>
      </c>
      <c r="U76">
        <v>1629</v>
      </c>
      <c r="V76">
        <v>33</v>
      </c>
      <c r="W76">
        <v>146</v>
      </c>
      <c r="X76">
        <v>10</v>
      </c>
      <c r="Y76">
        <v>38</v>
      </c>
    </row>
    <row r="77" spans="1:25" x14ac:dyDescent="0.25">
      <c r="A77">
        <v>2</v>
      </c>
      <c r="B77">
        <v>510</v>
      </c>
      <c r="C77">
        <v>3859</v>
      </c>
      <c r="D77">
        <v>567</v>
      </c>
      <c r="E77">
        <v>4138</v>
      </c>
      <c r="F77">
        <v>511</v>
      </c>
      <c r="G77">
        <v>3878</v>
      </c>
      <c r="H77">
        <v>567</v>
      </c>
      <c r="I77">
        <v>4139</v>
      </c>
      <c r="J77">
        <v>89</v>
      </c>
      <c r="K77">
        <v>385</v>
      </c>
      <c r="L77">
        <v>33</v>
      </c>
      <c r="M77">
        <v>124</v>
      </c>
      <c r="N77">
        <v>252</v>
      </c>
      <c r="O77">
        <v>2379</v>
      </c>
      <c r="P77">
        <v>317</v>
      </c>
      <c r="Q77">
        <v>2681</v>
      </c>
      <c r="R77">
        <v>255</v>
      </c>
      <c r="S77">
        <v>2393</v>
      </c>
      <c r="T77">
        <v>318</v>
      </c>
      <c r="U77">
        <v>2683</v>
      </c>
      <c r="V77">
        <v>85</v>
      </c>
      <c r="W77">
        <v>364</v>
      </c>
      <c r="X77">
        <v>22</v>
      </c>
      <c r="Y77">
        <v>74</v>
      </c>
    </row>
    <row r="78" spans="1:25" x14ac:dyDescent="0.25">
      <c r="A78">
        <v>3</v>
      </c>
      <c r="B78">
        <v>752</v>
      </c>
      <c r="C78">
        <v>5543</v>
      </c>
      <c r="D78">
        <v>862</v>
      </c>
      <c r="E78">
        <v>6220</v>
      </c>
      <c r="F78">
        <v>756</v>
      </c>
      <c r="G78">
        <v>5572</v>
      </c>
      <c r="H78">
        <v>865</v>
      </c>
      <c r="I78">
        <v>6224</v>
      </c>
      <c r="J78">
        <v>196</v>
      </c>
      <c r="K78">
        <v>943</v>
      </c>
      <c r="L78">
        <v>87</v>
      </c>
      <c r="M78">
        <v>291</v>
      </c>
      <c r="N78">
        <v>466</v>
      </c>
      <c r="O78">
        <v>3919</v>
      </c>
      <c r="P78">
        <v>638</v>
      </c>
      <c r="Q78">
        <v>4641</v>
      </c>
      <c r="R78">
        <v>471</v>
      </c>
      <c r="S78">
        <v>3949</v>
      </c>
      <c r="T78">
        <v>641</v>
      </c>
      <c r="U78">
        <v>4649</v>
      </c>
      <c r="V78">
        <v>243</v>
      </c>
      <c r="W78">
        <v>871</v>
      </c>
      <c r="X78">
        <v>73</v>
      </c>
      <c r="Y78">
        <v>171</v>
      </c>
    </row>
    <row r="79" spans="1:25" x14ac:dyDescent="0.25">
      <c r="A79">
        <v>4</v>
      </c>
      <c r="B79">
        <v>1468</v>
      </c>
      <c r="C79">
        <v>9077</v>
      </c>
      <c r="D79">
        <v>1823</v>
      </c>
      <c r="E79">
        <v>10927</v>
      </c>
      <c r="F79">
        <v>1477</v>
      </c>
      <c r="G79">
        <v>9129</v>
      </c>
      <c r="H79">
        <v>1829</v>
      </c>
      <c r="I79">
        <v>10939</v>
      </c>
      <c r="J79">
        <v>680</v>
      </c>
      <c r="K79">
        <v>2496</v>
      </c>
      <c r="L79">
        <v>328</v>
      </c>
      <c r="M79">
        <v>686</v>
      </c>
      <c r="N79">
        <v>1046</v>
      </c>
      <c r="O79">
        <v>8578</v>
      </c>
      <c r="P79">
        <v>1580</v>
      </c>
      <c r="Q79">
        <v>10650</v>
      </c>
      <c r="R79">
        <v>1059</v>
      </c>
      <c r="S79">
        <v>8651</v>
      </c>
      <c r="T79">
        <v>1584</v>
      </c>
      <c r="U79">
        <v>10665</v>
      </c>
      <c r="V79">
        <v>782</v>
      </c>
      <c r="W79">
        <v>2612</v>
      </c>
      <c r="X79">
        <v>257</v>
      </c>
      <c r="Y79">
        <v>598</v>
      </c>
    </row>
    <row r="80" spans="1:25" x14ac:dyDescent="0.25">
      <c r="A80">
        <v>5</v>
      </c>
      <c r="B80">
        <v>5469</v>
      </c>
      <c r="C80">
        <v>21098</v>
      </c>
      <c r="D80">
        <v>7698</v>
      </c>
      <c r="E80">
        <v>28585</v>
      </c>
      <c r="F80">
        <v>5510</v>
      </c>
      <c r="G80">
        <v>21230</v>
      </c>
      <c r="H80">
        <v>7712</v>
      </c>
      <c r="I80">
        <v>28616</v>
      </c>
      <c r="J80">
        <v>3172</v>
      </c>
      <c r="K80">
        <v>10122</v>
      </c>
      <c r="L80">
        <v>970</v>
      </c>
      <c r="M80">
        <v>2736</v>
      </c>
      <c r="N80">
        <v>5497</v>
      </c>
      <c r="O80">
        <v>19462</v>
      </c>
      <c r="P80">
        <v>8767</v>
      </c>
      <c r="Q80">
        <v>28344</v>
      </c>
      <c r="R80">
        <v>5545</v>
      </c>
      <c r="S80">
        <v>19609</v>
      </c>
      <c r="T80">
        <v>8781</v>
      </c>
      <c r="U80">
        <v>28380</v>
      </c>
      <c r="V80">
        <v>4542</v>
      </c>
      <c r="W80">
        <v>11479</v>
      </c>
      <c r="X80">
        <v>1306</v>
      </c>
      <c r="Y80">
        <v>2708</v>
      </c>
    </row>
    <row r="81" spans="1:25" x14ac:dyDescent="0.25">
      <c r="A81">
        <v>6</v>
      </c>
      <c r="B81">
        <v>9566</v>
      </c>
      <c r="C81">
        <v>23677</v>
      </c>
      <c r="D81">
        <v>16701</v>
      </c>
      <c r="E81">
        <v>39705</v>
      </c>
      <c r="F81">
        <v>9600</v>
      </c>
      <c r="G81">
        <v>23813</v>
      </c>
      <c r="H81">
        <v>16725</v>
      </c>
      <c r="I81">
        <v>39756</v>
      </c>
      <c r="J81">
        <v>10787</v>
      </c>
      <c r="K81">
        <v>22711</v>
      </c>
      <c r="L81">
        <v>3662</v>
      </c>
      <c r="M81">
        <v>6768</v>
      </c>
      <c r="N81">
        <v>9294</v>
      </c>
      <c r="O81">
        <v>21917</v>
      </c>
      <c r="P81">
        <v>18683</v>
      </c>
      <c r="Q81">
        <v>40730</v>
      </c>
      <c r="R81">
        <v>9385</v>
      </c>
      <c r="S81">
        <v>22109</v>
      </c>
      <c r="T81">
        <v>18721</v>
      </c>
      <c r="U81">
        <v>40782</v>
      </c>
      <c r="V81">
        <v>14375</v>
      </c>
      <c r="W81">
        <v>25812</v>
      </c>
      <c r="X81">
        <v>5039</v>
      </c>
      <c r="Y81">
        <v>7139</v>
      </c>
    </row>
    <row r="82" spans="1:25" x14ac:dyDescent="0.25">
      <c r="A82">
        <v>7</v>
      </c>
      <c r="B82">
        <v>7480</v>
      </c>
      <c r="C82">
        <v>14707</v>
      </c>
      <c r="D82">
        <v>13524</v>
      </c>
      <c r="E82">
        <v>26013</v>
      </c>
      <c r="F82">
        <v>7496</v>
      </c>
      <c r="G82">
        <v>14765</v>
      </c>
      <c r="H82">
        <v>13537</v>
      </c>
      <c r="I82">
        <v>26044</v>
      </c>
      <c r="J82">
        <v>11480</v>
      </c>
      <c r="K82">
        <v>18633</v>
      </c>
      <c r="L82">
        <v>5439</v>
      </c>
      <c r="M82">
        <v>7354</v>
      </c>
      <c r="N82">
        <v>4751</v>
      </c>
      <c r="O82">
        <v>8635</v>
      </c>
      <c r="P82">
        <v>11672</v>
      </c>
      <c r="Q82">
        <v>19976</v>
      </c>
      <c r="R82">
        <v>4793</v>
      </c>
      <c r="S82">
        <v>8706</v>
      </c>
      <c r="T82">
        <v>11699</v>
      </c>
      <c r="U82">
        <v>20028</v>
      </c>
      <c r="V82">
        <v>12935</v>
      </c>
      <c r="W82">
        <v>17315</v>
      </c>
      <c r="X82">
        <v>6029</v>
      </c>
      <c r="Y82">
        <v>5993</v>
      </c>
    </row>
    <row r="83" spans="1:25" x14ac:dyDescent="0.25">
      <c r="A83">
        <v>8</v>
      </c>
      <c r="B83">
        <v>1664</v>
      </c>
      <c r="C83">
        <v>1791</v>
      </c>
      <c r="D83">
        <v>3860</v>
      </c>
      <c r="E83">
        <v>4243</v>
      </c>
      <c r="F83">
        <v>1667</v>
      </c>
      <c r="G83">
        <v>1793</v>
      </c>
      <c r="H83">
        <v>3863</v>
      </c>
      <c r="I83">
        <v>4253</v>
      </c>
      <c r="J83">
        <v>5930</v>
      </c>
      <c r="K83">
        <v>5340</v>
      </c>
      <c r="L83">
        <v>3734</v>
      </c>
      <c r="M83">
        <v>2880</v>
      </c>
      <c r="N83">
        <v>828</v>
      </c>
      <c r="O83">
        <v>857</v>
      </c>
      <c r="P83">
        <v>2637</v>
      </c>
      <c r="Q83">
        <v>2675</v>
      </c>
      <c r="R83">
        <v>840</v>
      </c>
      <c r="S83">
        <v>863</v>
      </c>
      <c r="T83">
        <v>2643</v>
      </c>
      <c r="U83">
        <v>2685</v>
      </c>
      <c r="V83">
        <v>4064</v>
      </c>
      <c r="W83">
        <v>3244</v>
      </c>
      <c r="X83">
        <v>2261</v>
      </c>
      <c r="Y83">
        <v>1422</v>
      </c>
    </row>
    <row r="84" spans="1:25" x14ac:dyDescent="0.25">
      <c r="A84">
        <v>9</v>
      </c>
      <c r="B84">
        <v>2046</v>
      </c>
      <c r="C84">
        <v>3988</v>
      </c>
      <c r="D84">
        <v>5669</v>
      </c>
      <c r="E84">
        <v>10249</v>
      </c>
      <c r="F84">
        <v>2063</v>
      </c>
      <c r="G84">
        <v>4010</v>
      </c>
      <c r="H84">
        <v>5682</v>
      </c>
      <c r="I84">
        <v>10264</v>
      </c>
      <c r="J84">
        <v>5574</v>
      </c>
      <c r="K84">
        <v>8963</v>
      </c>
      <c r="L84">
        <v>1955</v>
      </c>
      <c r="M84">
        <v>2709</v>
      </c>
      <c r="N84">
        <v>2590</v>
      </c>
      <c r="O84">
        <v>3542</v>
      </c>
      <c r="P84">
        <v>7507</v>
      </c>
      <c r="Q84">
        <v>10719</v>
      </c>
      <c r="R84">
        <v>2642</v>
      </c>
      <c r="S84">
        <v>3619</v>
      </c>
      <c r="T84">
        <v>7527</v>
      </c>
      <c r="U84">
        <v>10743</v>
      </c>
      <c r="V84">
        <v>8597</v>
      </c>
      <c r="W84">
        <v>11096</v>
      </c>
      <c r="X84">
        <v>3712</v>
      </c>
      <c r="Y84">
        <v>3972</v>
      </c>
    </row>
    <row r="85" spans="1:25" x14ac:dyDescent="0.25">
      <c r="A85">
        <v>10</v>
      </c>
      <c r="B85">
        <v>997</v>
      </c>
      <c r="C85">
        <v>1614</v>
      </c>
      <c r="D85">
        <v>2807</v>
      </c>
      <c r="E85">
        <v>3717</v>
      </c>
      <c r="F85">
        <v>1003</v>
      </c>
      <c r="G85">
        <v>1625</v>
      </c>
      <c r="H85">
        <v>2812</v>
      </c>
      <c r="I85">
        <v>3722</v>
      </c>
      <c r="J85">
        <v>2522</v>
      </c>
      <c r="K85">
        <v>2676</v>
      </c>
      <c r="L85">
        <v>713</v>
      </c>
      <c r="M85">
        <v>579</v>
      </c>
      <c r="N85">
        <v>2723</v>
      </c>
      <c r="O85">
        <v>2010</v>
      </c>
      <c r="P85">
        <v>5563</v>
      </c>
      <c r="Q85">
        <v>4097</v>
      </c>
      <c r="R85">
        <v>2787</v>
      </c>
      <c r="S85">
        <v>2059</v>
      </c>
      <c r="T85">
        <v>5584</v>
      </c>
      <c r="U85">
        <v>4108</v>
      </c>
      <c r="V85">
        <v>4503</v>
      </c>
      <c r="W85">
        <v>3045</v>
      </c>
      <c r="X85">
        <v>1706</v>
      </c>
      <c r="Y85">
        <v>996</v>
      </c>
    </row>
    <row r="86" spans="1:25" x14ac:dyDescent="0.25">
      <c r="A86" t="s">
        <v>1</v>
      </c>
      <c r="B86">
        <f>SUM(B76:B85)</f>
        <v>30388</v>
      </c>
      <c r="C86">
        <f t="shared" ref="C86:M86" si="6">SUM(C76:C85)</f>
        <v>88723</v>
      </c>
      <c r="D86">
        <f t="shared" si="6"/>
        <v>53971</v>
      </c>
      <c r="E86">
        <f t="shared" si="6"/>
        <v>137330</v>
      </c>
      <c r="F86">
        <f t="shared" si="6"/>
        <v>30522</v>
      </c>
      <c r="G86">
        <f t="shared" si="6"/>
        <v>89201</v>
      </c>
      <c r="H86">
        <f t="shared" si="6"/>
        <v>54053</v>
      </c>
      <c r="I86">
        <f t="shared" si="6"/>
        <v>137492</v>
      </c>
      <c r="J86">
        <f t="shared" si="6"/>
        <v>40467</v>
      </c>
      <c r="K86">
        <f t="shared" si="6"/>
        <v>72495</v>
      </c>
      <c r="L86">
        <f t="shared" si="6"/>
        <v>16936</v>
      </c>
      <c r="M86">
        <f t="shared" si="6"/>
        <v>24204</v>
      </c>
      <c r="N86">
        <f>SUM(N76:N85)</f>
        <v>27591</v>
      </c>
      <c r="O86">
        <f t="shared" ref="O86:Y86" si="7">SUM(O76:O85)</f>
        <v>72811</v>
      </c>
      <c r="P86">
        <f t="shared" si="7"/>
        <v>57532</v>
      </c>
      <c r="Q86">
        <f t="shared" si="7"/>
        <v>126142</v>
      </c>
      <c r="R86">
        <f t="shared" si="7"/>
        <v>27922</v>
      </c>
      <c r="S86">
        <f t="shared" si="7"/>
        <v>73479</v>
      </c>
      <c r="T86">
        <f t="shared" si="7"/>
        <v>57666</v>
      </c>
      <c r="U86">
        <f t="shared" si="7"/>
        <v>126352</v>
      </c>
      <c r="V86">
        <f t="shared" si="7"/>
        <v>50159</v>
      </c>
      <c r="W86">
        <f t="shared" si="7"/>
        <v>75984</v>
      </c>
      <c r="X86">
        <f t="shared" si="7"/>
        <v>20415</v>
      </c>
      <c r="Y86">
        <f t="shared" si="7"/>
        <v>23111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5FDE-E49C-4FC3-9E7F-8DE4BBBB3490}">
  <dimension ref="A5:Q92"/>
  <sheetViews>
    <sheetView topLeftCell="A64" zoomScale="85" zoomScaleNormal="85" workbookViewId="0">
      <selection activeCell="J82" sqref="J82:Q91"/>
    </sheetView>
  </sheetViews>
  <sheetFormatPr baseColWidth="10" defaultRowHeight="15" x14ac:dyDescent="0.25"/>
  <sheetData>
    <row r="5" spans="1:17" x14ac:dyDescent="0.25">
      <c r="A5" s="2" t="s">
        <v>12</v>
      </c>
      <c r="B5" t="s">
        <v>15</v>
      </c>
    </row>
    <row r="6" spans="1:17" x14ac:dyDescent="0.25">
      <c r="A6" s="2" t="s">
        <v>13</v>
      </c>
      <c r="B6" t="str">
        <f ca="1">LEFT(MID(CELL("Dateiname",A1),FIND("[",CELL("Dateiname",A1))+1,FIND("]",CELL("Dateiname",A1))-FIND("[",CELL("Dateiname",A1))-1),14)</f>
        <v>2025-11-25-133</v>
      </c>
    </row>
    <row r="7" spans="1:17" x14ac:dyDescent="0.25">
      <c r="A7" s="2" t="s">
        <v>14</v>
      </c>
      <c r="B7" s="3">
        <f ca="1">TODAY()</f>
        <v>46021</v>
      </c>
      <c r="C7" s="3"/>
    </row>
    <row r="10" spans="1:17" x14ac:dyDescent="0.25">
      <c r="A10" s="1" t="s">
        <v>5</v>
      </c>
      <c r="B10" s="1"/>
      <c r="C10" s="1"/>
      <c r="D10" s="1"/>
      <c r="E10" s="1"/>
      <c r="F10" s="1"/>
      <c r="G10" s="1"/>
      <c r="H10" s="1"/>
      <c r="I10" s="1"/>
    </row>
    <row r="12" spans="1:17" x14ac:dyDescent="0.25">
      <c r="B12" t="s">
        <v>0</v>
      </c>
      <c r="J12" t="s">
        <v>17</v>
      </c>
    </row>
    <row r="13" spans="1:17" x14ac:dyDescent="0.25">
      <c r="B13" t="s">
        <v>8</v>
      </c>
      <c r="D13" t="s">
        <v>6</v>
      </c>
      <c r="F13" t="s">
        <v>9</v>
      </c>
      <c r="H13" t="s">
        <v>7</v>
      </c>
      <c r="J13" t="s">
        <v>8</v>
      </c>
      <c r="L13" t="s">
        <v>6</v>
      </c>
      <c r="N13" t="s">
        <v>9</v>
      </c>
      <c r="P13" t="s">
        <v>7</v>
      </c>
    </row>
    <row r="14" spans="1:17" x14ac:dyDescent="0.25">
      <c r="A14" t="s">
        <v>4</v>
      </c>
      <c r="B14" t="s">
        <v>2</v>
      </c>
      <c r="C14" t="s">
        <v>3</v>
      </c>
      <c r="D14" t="s">
        <v>2</v>
      </c>
      <c r="E14" t="s">
        <v>3</v>
      </c>
      <c r="F14" t="s">
        <v>2</v>
      </c>
      <c r="G14" t="s">
        <v>3</v>
      </c>
      <c r="H14" t="s">
        <v>2</v>
      </c>
      <c r="I14" t="s">
        <v>3</v>
      </c>
      <c r="J14" t="s">
        <v>2</v>
      </c>
      <c r="K14" t="s">
        <v>3</v>
      </c>
      <c r="L14" t="s">
        <v>2</v>
      </c>
      <c r="M14" t="s">
        <v>3</v>
      </c>
      <c r="N14" t="s">
        <v>2</v>
      </c>
      <c r="O14" t="s">
        <v>3</v>
      </c>
      <c r="P14" t="s">
        <v>2</v>
      </c>
      <c r="Q14" t="s">
        <v>3</v>
      </c>
    </row>
    <row r="15" spans="1:17" x14ac:dyDescent="0.25">
      <c r="A15">
        <v>1</v>
      </c>
      <c r="B15">
        <v>745</v>
      </c>
      <c r="C15">
        <v>4105</v>
      </c>
      <c r="D15">
        <v>798</v>
      </c>
      <c r="E15">
        <v>4384</v>
      </c>
      <c r="F15">
        <v>807</v>
      </c>
      <c r="G15">
        <v>4464</v>
      </c>
      <c r="H15">
        <v>874</v>
      </c>
      <c r="I15">
        <v>4782</v>
      </c>
      <c r="J15">
        <v>288</v>
      </c>
      <c r="K15">
        <v>2193</v>
      </c>
      <c r="L15">
        <v>335</v>
      </c>
      <c r="M15">
        <v>2387</v>
      </c>
      <c r="N15">
        <v>311</v>
      </c>
      <c r="O15">
        <v>2357</v>
      </c>
      <c r="P15">
        <v>363</v>
      </c>
      <c r="Q15">
        <v>2591</v>
      </c>
    </row>
    <row r="16" spans="1:17" x14ac:dyDescent="0.25">
      <c r="A16">
        <v>2</v>
      </c>
      <c r="B16">
        <v>869</v>
      </c>
      <c r="C16">
        <v>4768</v>
      </c>
      <c r="D16">
        <v>1001</v>
      </c>
      <c r="E16">
        <v>5289</v>
      </c>
      <c r="F16">
        <v>937</v>
      </c>
      <c r="G16">
        <v>5233</v>
      </c>
      <c r="H16">
        <v>1090</v>
      </c>
      <c r="I16">
        <v>5827</v>
      </c>
      <c r="J16">
        <v>514</v>
      </c>
      <c r="K16">
        <v>3473</v>
      </c>
      <c r="L16">
        <v>660</v>
      </c>
      <c r="M16">
        <v>3998</v>
      </c>
      <c r="N16">
        <v>551</v>
      </c>
      <c r="O16">
        <v>3776</v>
      </c>
      <c r="P16">
        <v>716</v>
      </c>
      <c r="Q16">
        <v>4379</v>
      </c>
    </row>
    <row r="17" spans="1:17" x14ac:dyDescent="0.25">
      <c r="A17">
        <v>3</v>
      </c>
      <c r="B17">
        <v>1330</v>
      </c>
      <c r="C17">
        <v>6921</v>
      </c>
      <c r="D17">
        <v>1632</v>
      </c>
      <c r="E17">
        <v>8191</v>
      </c>
      <c r="F17">
        <v>1453</v>
      </c>
      <c r="G17">
        <v>7576</v>
      </c>
      <c r="H17">
        <v>1798</v>
      </c>
      <c r="I17">
        <v>9076</v>
      </c>
      <c r="J17">
        <v>947</v>
      </c>
      <c r="K17">
        <v>5701</v>
      </c>
      <c r="L17">
        <v>1370</v>
      </c>
      <c r="M17">
        <v>6958</v>
      </c>
      <c r="N17">
        <v>1033</v>
      </c>
      <c r="O17">
        <v>6181</v>
      </c>
      <c r="P17">
        <v>1497</v>
      </c>
      <c r="Q17">
        <v>7645</v>
      </c>
    </row>
    <row r="18" spans="1:17" x14ac:dyDescent="0.25">
      <c r="A18">
        <v>4</v>
      </c>
      <c r="B18">
        <v>2771</v>
      </c>
      <c r="C18">
        <v>11901</v>
      </c>
      <c r="D18">
        <v>3770</v>
      </c>
      <c r="E18">
        <v>15441</v>
      </c>
      <c r="F18">
        <v>3058</v>
      </c>
      <c r="G18">
        <v>13226</v>
      </c>
      <c r="H18">
        <v>4246</v>
      </c>
      <c r="I18">
        <v>17294</v>
      </c>
      <c r="J18">
        <v>2275</v>
      </c>
      <c r="K18">
        <v>10658</v>
      </c>
      <c r="L18">
        <v>3686</v>
      </c>
      <c r="M18">
        <v>14545</v>
      </c>
      <c r="N18">
        <v>2464</v>
      </c>
      <c r="O18">
        <v>11689</v>
      </c>
      <c r="P18">
        <v>4066</v>
      </c>
      <c r="Q18">
        <v>16187</v>
      </c>
    </row>
    <row r="19" spans="1:17" x14ac:dyDescent="0.25">
      <c r="A19">
        <v>5</v>
      </c>
      <c r="B19">
        <v>7349</v>
      </c>
      <c r="C19">
        <v>26659</v>
      </c>
      <c r="D19">
        <v>11909</v>
      </c>
      <c r="E19">
        <v>41585</v>
      </c>
      <c r="F19">
        <v>8091</v>
      </c>
      <c r="G19">
        <v>29648</v>
      </c>
      <c r="H19">
        <v>13313</v>
      </c>
      <c r="I19">
        <v>46747</v>
      </c>
      <c r="J19">
        <v>7944</v>
      </c>
      <c r="K19">
        <v>26615</v>
      </c>
      <c r="L19">
        <v>14802</v>
      </c>
      <c r="M19">
        <v>44856</v>
      </c>
      <c r="N19">
        <v>8746</v>
      </c>
      <c r="O19">
        <v>29215</v>
      </c>
      <c r="P19">
        <v>16618</v>
      </c>
      <c r="Q19">
        <v>50232</v>
      </c>
    </row>
    <row r="20" spans="1:17" x14ac:dyDescent="0.25">
      <c r="A20">
        <v>6</v>
      </c>
      <c r="B20">
        <v>15457</v>
      </c>
      <c r="C20">
        <v>34148</v>
      </c>
      <c r="D20">
        <v>33461</v>
      </c>
      <c r="E20">
        <v>72388</v>
      </c>
      <c r="F20">
        <v>17451</v>
      </c>
      <c r="G20">
        <v>38363</v>
      </c>
      <c r="H20">
        <v>38321</v>
      </c>
      <c r="I20">
        <v>82009</v>
      </c>
      <c r="J20">
        <v>18869</v>
      </c>
      <c r="K20">
        <v>37347</v>
      </c>
      <c r="L20">
        <v>47842</v>
      </c>
      <c r="M20">
        <v>88798</v>
      </c>
      <c r="N20">
        <v>21194</v>
      </c>
      <c r="O20">
        <v>41685</v>
      </c>
      <c r="P20">
        <v>54784</v>
      </c>
      <c r="Q20">
        <v>100647</v>
      </c>
    </row>
    <row r="21" spans="1:17" x14ac:dyDescent="0.25">
      <c r="A21">
        <v>7</v>
      </c>
      <c r="B21">
        <v>16421</v>
      </c>
      <c r="C21">
        <v>25412</v>
      </c>
      <c r="D21">
        <v>37107</v>
      </c>
      <c r="E21">
        <v>58739</v>
      </c>
      <c r="F21">
        <v>18246</v>
      </c>
      <c r="G21">
        <v>28309</v>
      </c>
      <c r="H21">
        <v>42775</v>
      </c>
      <c r="I21">
        <v>66943</v>
      </c>
      <c r="J21">
        <v>14997</v>
      </c>
      <c r="K21">
        <v>21129</v>
      </c>
      <c r="L21">
        <v>48994</v>
      </c>
      <c r="M21">
        <v>68876</v>
      </c>
      <c r="N21">
        <v>16815</v>
      </c>
      <c r="O21">
        <v>23340</v>
      </c>
      <c r="P21">
        <v>56557</v>
      </c>
      <c r="Q21">
        <v>78594</v>
      </c>
    </row>
    <row r="22" spans="1:17" x14ac:dyDescent="0.25">
      <c r="A22">
        <v>8</v>
      </c>
      <c r="B22">
        <v>20478</v>
      </c>
      <c r="C22">
        <v>10734</v>
      </c>
      <c r="D22">
        <v>89211</v>
      </c>
      <c r="E22">
        <v>54357</v>
      </c>
      <c r="F22">
        <v>23691</v>
      </c>
      <c r="G22">
        <v>12213</v>
      </c>
      <c r="H22">
        <v>103191</v>
      </c>
      <c r="I22">
        <v>61976</v>
      </c>
      <c r="J22">
        <v>21659</v>
      </c>
      <c r="K22">
        <v>13389</v>
      </c>
      <c r="L22">
        <v>110028</v>
      </c>
      <c r="M22">
        <v>85038</v>
      </c>
      <c r="N22">
        <v>25680</v>
      </c>
      <c r="O22">
        <v>15315</v>
      </c>
      <c r="P22">
        <v>130569</v>
      </c>
      <c r="Q22">
        <v>96205</v>
      </c>
    </row>
    <row r="23" spans="1:17" x14ac:dyDescent="0.25">
      <c r="A23">
        <v>9</v>
      </c>
      <c r="B23">
        <v>5622</v>
      </c>
      <c r="C23">
        <v>7403</v>
      </c>
      <c r="D23">
        <v>23518</v>
      </c>
      <c r="E23">
        <v>30887</v>
      </c>
      <c r="F23">
        <v>6311</v>
      </c>
      <c r="G23">
        <v>8342</v>
      </c>
      <c r="H23">
        <v>27733</v>
      </c>
      <c r="I23">
        <v>35576</v>
      </c>
      <c r="J23">
        <v>14957</v>
      </c>
      <c r="K23">
        <v>11697</v>
      </c>
      <c r="L23">
        <v>47558</v>
      </c>
      <c r="M23">
        <v>44976</v>
      </c>
      <c r="N23">
        <v>17414</v>
      </c>
      <c r="O23">
        <v>13246</v>
      </c>
      <c r="P23">
        <v>58011</v>
      </c>
      <c r="Q23">
        <v>51957</v>
      </c>
    </row>
    <row r="24" spans="1:17" x14ac:dyDescent="0.25">
      <c r="A24">
        <v>10</v>
      </c>
      <c r="B24">
        <v>5462</v>
      </c>
      <c r="C24">
        <v>3592</v>
      </c>
      <c r="D24">
        <v>37145</v>
      </c>
      <c r="E24">
        <v>22355</v>
      </c>
      <c r="F24">
        <v>6232</v>
      </c>
      <c r="G24">
        <v>4031</v>
      </c>
      <c r="H24">
        <v>42393</v>
      </c>
      <c r="I24">
        <v>25237</v>
      </c>
      <c r="J24">
        <v>59136</v>
      </c>
      <c r="K24">
        <v>17224</v>
      </c>
      <c r="L24">
        <v>214468</v>
      </c>
      <c r="M24">
        <v>55728</v>
      </c>
      <c r="N24">
        <v>66905</v>
      </c>
      <c r="O24">
        <v>19385</v>
      </c>
      <c r="P24">
        <v>244019</v>
      </c>
      <c r="Q24">
        <v>63752</v>
      </c>
    </row>
    <row r="25" spans="1:17" x14ac:dyDescent="0.25">
      <c r="A25" t="s">
        <v>1</v>
      </c>
      <c r="B25">
        <f>SUM(B15:B24)</f>
        <v>76504</v>
      </c>
      <c r="C25">
        <f t="shared" ref="C25:I25" si="0">SUM(C15:C24)</f>
        <v>135643</v>
      </c>
      <c r="D25">
        <f t="shared" si="0"/>
        <v>239552</v>
      </c>
      <c r="E25">
        <f t="shared" si="0"/>
        <v>313616</v>
      </c>
      <c r="F25">
        <f t="shared" si="0"/>
        <v>86277</v>
      </c>
      <c r="G25">
        <f t="shared" si="0"/>
        <v>151405</v>
      </c>
      <c r="H25">
        <f t="shared" si="0"/>
        <v>275734</v>
      </c>
      <c r="I25">
        <f t="shared" si="0"/>
        <v>355467</v>
      </c>
      <c r="J25">
        <f>SUM(J15:J24)</f>
        <v>141586</v>
      </c>
      <c r="K25">
        <f t="shared" ref="K25:Q25" si="1">SUM(K15:K24)</f>
        <v>149426</v>
      </c>
      <c r="L25">
        <f t="shared" si="1"/>
        <v>489743</v>
      </c>
      <c r="M25">
        <f t="shared" si="1"/>
        <v>416160</v>
      </c>
      <c r="N25">
        <f t="shared" si="1"/>
        <v>161113</v>
      </c>
      <c r="O25">
        <f t="shared" si="1"/>
        <v>166189</v>
      </c>
      <c r="P25">
        <f t="shared" si="1"/>
        <v>567200</v>
      </c>
      <c r="Q25">
        <f t="shared" si="1"/>
        <v>472189</v>
      </c>
    </row>
    <row r="29" spans="1:17" s="1" customFormat="1" x14ac:dyDescent="0.25">
      <c r="A29" s="1" t="s">
        <v>18</v>
      </c>
    </row>
    <row r="32" spans="1:17" x14ac:dyDescent="0.25">
      <c r="B32" t="s">
        <v>0</v>
      </c>
      <c r="J32" t="s">
        <v>17</v>
      </c>
    </row>
    <row r="33" spans="1:17" x14ac:dyDescent="0.25">
      <c r="B33" t="s">
        <v>8</v>
      </c>
      <c r="D33" t="s">
        <v>6</v>
      </c>
      <c r="F33" t="s">
        <v>9</v>
      </c>
      <c r="H33" t="s">
        <v>7</v>
      </c>
      <c r="J33" t="s">
        <v>8</v>
      </c>
      <c r="L33" t="s">
        <v>6</v>
      </c>
      <c r="N33" t="s">
        <v>9</v>
      </c>
      <c r="P33" t="s">
        <v>7</v>
      </c>
    </row>
    <row r="34" spans="1:17" x14ac:dyDescent="0.25">
      <c r="A34" t="s">
        <v>4</v>
      </c>
      <c r="B34" t="s">
        <v>2</v>
      </c>
      <c r="C34" t="s">
        <v>3</v>
      </c>
      <c r="D34" t="s">
        <v>2</v>
      </c>
      <c r="E34" t="s">
        <v>3</v>
      </c>
      <c r="F34" t="s">
        <v>2</v>
      </c>
      <c r="G34" t="s">
        <v>3</v>
      </c>
      <c r="H34" t="s">
        <v>2</v>
      </c>
      <c r="I34" t="s">
        <v>3</v>
      </c>
      <c r="J34" t="s">
        <v>2</v>
      </c>
      <c r="K34" t="s">
        <v>3</v>
      </c>
      <c r="L34" t="s">
        <v>2</v>
      </c>
      <c r="M34" t="s">
        <v>3</v>
      </c>
      <c r="N34" t="s">
        <v>2</v>
      </c>
      <c r="O34" t="s">
        <v>3</v>
      </c>
      <c r="P34" t="s">
        <v>2</v>
      </c>
      <c r="Q34" t="s">
        <v>3</v>
      </c>
    </row>
    <row r="35" spans="1:17" x14ac:dyDescent="0.25">
      <c r="A35">
        <v>1</v>
      </c>
      <c r="B35">
        <v>467</v>
      </c>
      <c r="C35">
        <v>3525</v>
      </c>
      <c r="D35">
        <v>500</v>
      </c>
      <c r="E35">
        <v>3746</v>
      </c>
      <c r="F35">
        <v>505</v>
      </c>
      <c r="G35">
        <v>3767</v>
      </c>
      <c r="H35">
        <v>547</v>
      </c>
      <c r="I35">
        <v>4012</v>
      </c>
      <c r="J35">
        <v>160</v>
      </c>
      <c r="K35">
        <v>1607</v>
      </c>
      <c r="L35">
        <v>188</v>
      </c>
      <c r="M35">
        <v>1762</v>
      </c>
      <c r="N35">
        <v>177</v>
      </c>
      <c r="O35">
        <v>1722</v>
      </c>
      <c r="P35">
        <v>206</v>
      </c>
      <c r="Q35">
        <v>1904</v>
      </c>
    </row>
    <row r="36" spans="1:17" x14ac:dyDescent="0.25">
      <c r="A36">
        <v>2</v>
      </c>
      <c r="B36">
        <v>552</v>
      </c>
      <c r="C36">
        <v>4094</v>
      </c>
      <c r="D36">
        <v>625</v>
      </c>
      <c r="E36">
        <v>4468</v>
      </c>
      <c r="F36">
        <v>590</v>
      </c>
      <c r="G36">
        <v>4412</v>
      </c>
      <c r="H36">
        <v>679</v>
      </c>
      <c r="I36">
        <v>4839</v>
      </c>
      <c r="J36">
        <v>283</v>
      </c>
      <c r="K36">
        <v>2564</v>
      </c>
      <c r="L36">
        <v>364</v>
      </c>
      <c r="M36">
        <v>2962</v>
      </c>
      <c r="N36">
        <v>300</v>
      </c>
      <c r="O36">
        <v>2783</v>
      </c>
      <c r="P36">
        <v>389</v>
      </c>
      <c r="Q36">
        <v>3225</v>
      </c>
    </row>
    <row r="37" spans="1:17" x14ac:dyDescent="0.25">
      <c r="A37">
        <v>3</v>
      </c>
      <c r="B37">
        <v>832</v>
      </c>
      <c r="C37">
        <v>5946</v>
      </c>
      <c r="D37">
        <v>974</v>
      </c>
      <c r="E37">
        <v>6841</v>
      </c>
      <c r="F37">
        <v>896</v>
      </c>
      <c r="G37">
        <v>6368</v>
      </c>
      <c r="H37">
        <v>1058</v>
      </c>
      <c r="I37">
        <v>7421</v>
      </c>
      <c r="J37">
        <v>546</v>
      </c>
      <c r="K37">
        <v>4279</v>
      </c>
      <c r="L37">
        <v>764</v>
      </c>
      <c r="M37">
        <v>5189</v>
      </c>
      <c r="N37">
        <v>594</v>
      </c>
      <c r="O37">
        <v>4623</v>
      </c>
      <c r="P37">
        <v>831</v>
      </c>
      <c r="Q37">
        <v>5668</v>
      </c>
    </row>
    <row r="38" spans="1:17" x14ac:dyDescent="0.25">
      <c r="A38">
        <v>4</v>
      </c>
      <c r="B38">
        <v>1730</v>
      </c>
      <c r="C38">
        <v>9911</v>
      </c>
      <c r="D38">
        <v>2250</v>
      </c>
      <c r="E38">
        <v>12317</v>
      </c>
      <c r="F38">
        <v>1877</v>
      </c>
      <c r="G38">
        <v>10783</v>
      </c>
      <c r="H38">
        <v>2479</v>
      </c>
      <c r="I38">
        <v>13537</v>
      </c>
      <c r="J38">
        <v>1273</v>
      </c>
      <c r="K38">
        <v>9744</v>
      </c>
      <c r="L38">
        <v>1968</v>
      </c>
      <c r="M38">
        <v>12516</v>
      </c>
      <c r="N38">
        <v>1361</v>
      </c>
      <c r="O38">
        <v>10534</v>
      </c>
      <c r="P38">
        <v>2135</v>
      </c>
      <c r="Q38">
        <v>13719</v>
      </c>
    </row>
    <row r="39" spans="1:17" x14ac:dyDescent="0.25">
      <c r="A39">
        <v>5</v>
      </c>
      <c r="B39">
        <v>6676</v>
      </c>
      <c r="C39">
        <v>23821</v>
      </c>
      <c r="D39">
        <v>10030</v>
      </c>
      <c r="E39">
        <v>34028</v>
      </c>
      <c r="F39">
        <v>7296</v>
      </c>
      <c r="G39">
        <v>25842</v>
      </c>
      <c r="H39">
        <v>11128</v>
      </c>
      <c r="I39">
        <v>37448</v>
      </c>
      <c r="J39">
        <v>7325</v>
      </c>
      <c r="K39">
        <v>23876</v>
      </c>
      <c r="L39">
        <v>12484</v>
      </c>
      <c r="M39">
        <v>36916</v>
      </c>
      <c r="N39">
        <v>8026</v>
      </c>
      <c r="O39">
        <v>25812</v>
      </c>
      <c r="P39">
        <v>13988</v>
      </c>
      <c r="Q39">
        <v>40767</v>
      </c>
    </row>
    <row r="40" spans="1:17" x14ac:dyDescent="0.25">
      <c r="A40">
        <v>6</v>
      </c>
      <c r="B40">
        <v>13497</v>
      </c>
      <c r="C40">
        <v>28900</v>
      </c>
      <c r="D40">
        <v>26045</v>
      </c>
      <c r="E40">
        <v>53397</v>
      </c>
      <c r="F40">
        <v>15078</v>
      </c>
      <c r="G40">
        <v>31611</v>
      </c>
      <c r="H40">
        <v>29830</v>
      </c>
      <c r="I40">
        <v>59471</v>
      </c>
      <c r="J40">
        <v>16814</v>
      </c>
      <c r="K40">
        <v>32502</v>
      </c>
      <c r="L40">
        <v>38036</v>
      </c>
      <c r="M40">
        <v>67020</v>
      </c>
      <c r="N40">
        <v>18768</v>
      </c>
      <c r="O40">
        <v>35723</v>
      </c>
      <c r="P40">
        <v>43679</v>
      </c>
      <c r="Q40">
        <v>75244</v>
      </c>
    </row>
    <row r="41" spans="1:17" x14ac:dyDescent="0.25">
      <c r="A41">
        <v>7</v>
      </c>
      <c r="B41">
        <v>14013</v>
      </c>
      <c r="C41">
        <v>21107</v>
      </c>
      <c r="D41">
        <v>29119</v>
      </c>
      <c r="E41">
        <v>43636</v>
      </c>
      <c r="F41">
        <v>15437</v>
      </c>
      <c r="G41">
        <v>23088</v>
      </c>
      <c r="H41">
        <v>33454</v>
      </c>
      <c r="I41">
        <v>49014</v>
      </c>
      <c r="J41">
        <v>13368</v>
      </c>
      <c r="K41">
        <v>18468</v>
      </c>
      <c r="L41">
        <v>39232</v>
      </c>
      <c r="M41">
        <v>52868</v>
      </c>
      <c r="N41">
        <v>14922</v>
      </c>
      <c r="O41">
        <v>20203</v>
      </c>
      <c r="P41">
        <v>45344</v>
      </c>
      <c r="Q41">
        <v>59842</v>
      </c>
    </row>
    <row r="42" spans="1:17" x14ac:dyDescent="0.25">
      <c r="A42">
        <v>8</v>
      </c>
      <c r="B42">
        <v>17282</v>
      </c>
      <c r="C42">
        <v>8583</v>
      </c>
      <c r="D42">
        <v>62011</v>
      </c>
      <c r="E42">
        <v>34023</v>
      </c>
      <c r="F42">
        <v>19936</v>
      </c>
      <c r="G42">
        <v>9671</v>
      </c>
      <c r="H42">
        <v>73058</v>
      </c>
      <c r="I42">
        <v>39230</v>
      </c>
      <c r="J42">
        <v>18549</v>
      </c>
      <c r="K42">
        <v>10678</v>
      </c>
      <c r="L42">
        <v>75476</v>
      </c>
      <c r="M42">
        <v>50118</v>
      </c>
      <c r="N42">
        <v>21979</v>
      </c>
      <c r="O42">
        <v>12141</v>
      </c>
      <c r="P42">
        <v>92137</v>
      </c>
      <c r="Q42">
        <v>58136</v>
      </c>
    </row>
    <row r="43" spans="1:17" x14ac:dyDescent="0.25">
      <c r="A43">
        <v>9</v>
      </c>
      <c r="B43">
        <v>4918</v>
      </c>
      <c r="C43">
        <v>6331</v>
      </c>
      <c r="D43">
        <v>17440</v>
      </c>
      <c r="E43">
        <v>20509</v>
      </c>
      <c r="F43">
        <v>5489</v>
      </c>
      <c r="G43">
        <v>6990</v>
      </c>
      <c r="H43">
        <v>20689</v>
      </c>
      <c r="I43">
        <v>23391</v>
      </c>
      <c r="J43">
        <v>13603</v>
      </c>
      <c r="K43">
        <v>10417</v>
      </c>
      <c r="L43">
        <v>37808</v>
      </c>
      <c r="M43">
        <v>31921</v>
      </c>
      <c r="N43">
        <v>15795</v>
      </c>
      <c r="O43">
        <v>11693</v>
      </c>
      <c r="P43">
        <v>46448</v>
      </c>
      <c r="Q43">
        <v>36818</v>
      </c>
    </row>
    <row r="44" spans="1:17" x14ac:dyDescent="0.25">
      <c r="A44">
        <v>10</v>
      </c>
      <c r="B44">
        <v>4801</v>
      </c>
      <c r="C44">
        <v>3027</v>
      </c>
      <c r="D44">
        <v>28529</v>
      </c>
      <c r="E44">
        <v>15057</v>
      </c>
      <c r="F44">
        <v>5479</v>
      </c>
      <c r="G44">
        <v>3351</v>
      </c>
      <c r="H44">
        <v>32751</v>
      </c>
      <c r="I44">
        <v>16983</v>
      </c>
      <c r="J44">
        <v>53305</v>
      </c>
      <c r="K44">
        <v>15077</v>
      </c>
      <c r="L44">
        <v>160109</v>
      </c>
      <c r="M44">
        <v>37874</v>
      </c>
      <c r="N44">
        <v>60305</v>
      </c>
      <c r="O44">
        <v>16927</v>
      </c>
      <c r="P44">
        <v>185121</v>
      </c>
      <c r="Q44">
        <v>43840</v>
      </c>
    </row>
    <row r="45" spans="1:17" x14ac:dyDescent="0.25">
      <c r="A45" t="s">
        <v>1</v>
      </c>
      <c r="B45">
        <f>SUM(B35:B44)</f>
        <v>64768</v>
      </c>
      <c r="C45">
        <f t="shared" ref="C45:I45" si="2">SUM(C35:C44)</f>
        <v>115245</v>
      </c>
      <c r="D45">
        <f t="shared" si="2"/>
        <v>177523</v>
      </c>
      <c r="E45">
        <f t="shared" si="2"/>
        <v>228022</v>
      </c>
      <c r="F45">
        <f t="shared" si="2"/>
        <v>72583</v>
      </c>
      <c r="G45">
        <f t="shared" si="2"/>
        <v>125883</v>
      </c>
      <c r="H45">
        <f t="shared" si="2"/>
        <v>205673</v>
      </c>
      <c r="I45">
        <f t="shared" si="2"/>
        <v>255346</v>
      </c>
      <c r="J45">
        <f>SUM(J35:J44)</f>
        <v>125226</v>
      </c>
      <c r="K45">
        <f t="shared" ref="K45:Q45" si="3">SUM(K35:K44)</f>
        <v>129212</v>
      </c>
      <c r="L45">
        <f t="shared" si="3"/>
        <v>366429</v>
      </c>
      <c r="M45">
        <f t="shared" si="3"/>
        <v>299146</v>
      </c>
      <c r="N45">
        <f t="shared" si="3"/>
        <v>142227</v>
      </c>
      <c r="O45">
        <f t="shared" si="3"/>
        <v>142161</v>
      </c>
      <c r="P45">
        <f t="shared" si="3"/>
        <v>430278</v>
      </c>
      <c r="Q45">
        <f t="shared" si="3"/>
        <v>339163</v>
      </c>
    </row>
    <row r="58" spans="1:17" x14ac:dyDescent="0.25">
      <c r="A58" s="1" t="s">
        <v>16</v>
      </c>
      <c r="B58" s="1"/>
      <c r="C58" s="1"/>
      <c r="D58" s="1"/>
      <c r="E58" s="1"/>
    </row>
    <row r="60" spans="1:17" x14ac:dyDescent="0.25">
      <c r="B60" t="s">
        <v>0</v>
      </c>
      <c r="J60" t="s">
        <v>17</v>
      </c>
    </row>
    <row r="61" spans="1:17" x14ac:dyDescent="0.25">
      <c r="B61" t="s">
        <v>8</v>
      </c>
      <c r="D61" t="s">
        <v>6</v>
      </c>
      <c r="F61" t="s">
        <v>9</v>
      </c>
      <c r="H61" t="s">
        <v>7</v>
      </c>
      <c r="J61" t="s">
        <v>8</v>
      </c>
      <c r="L61" t="s">
        <v>6</v>
      </c>
      <c r="N61" t="s">
        <v>9</v>
      </c>
      <c r="P61" t="s">
        <v>7</v>
      </c>
    </row>
    <row r="62" spans="1:17" x14ac:dyDescent="0.25">
      <c r="A62" t="s">
        <v>4</v>
      </c>
      <c r="B62" t="s">
        <v>2</v>
      </c>
      <c r="C62" t="s">
        <v>3</v>
      </c>
      <c r="D62" t="s">
        <v>2</v>
      </c>
      <c r="E62" t="s">
        <v>3</v>
      </c>
      <c r="F62" t="s">
        <v>2</v>
      </c>
      <c r="G62" t="s">
        <v>3</v>
      </c>
      <c r="H62" t="s">
        <v>2</v>
      </c>
      <c r="I62" t="s">
        <v>3</v>
      </c>
      <c r="J62" t="s">
        <v>2</v>
      </c>
      <c r="K62" t="s">
        <v>3</v>
      </c>
      <c r="L62" t="s">
        <v>2</v>
      </c>
      <c r="M62" t="s">
        <v>3</v>
      </c>
      <c r="N62" t="s">
        <v>2</v>
      </c>
      <c r="O62" t="s">
        <v>3</v>
      </c>
      <c r="P62" t="s">
        <v>2</v>
      </c>
      <c r="Q62" t="s">
        <v>3</v>
      </c>
    </row>
    <row r="63" spans="1:17" x14ac:dyDescent="0.25">
      <c r="A63">
        <v>1</v>
      </c>
      <c r="B63">
        <v>745</v>
      </c>
      <c r="C63">
        <v>4103</v>
      </c>
      <c r="D63">
        <v>793</v>
      </c>
      <c r="E63">
        <v>4375</v>
      </c>
      <c r="F63">
        <v>807</v>
      </c>
      <c r="G63">
        <v>4462</v>
      </c>
      <c r="H63">
        <v>869</v>
      </c>
      <c r="I63">
        <v>4773</v>
      </c>
      <c r="J63">
        <v>287</v>
      </c>
      <c r="K63">
        <v>2193</v>
      </c>
      <c r="L63">
        <v>332</v>
      </c>
      <c r="M63">
        <v>2384</v>
      </c>
      <c r="N63">
        <v>310</v>
      </c>
      <c r="O63">
        <v>2357</v>
      </c>
      <c r="P63">
        <v>359</v>
      </c>
      <c r="Q63">
        <v>2588</v>
      </c>
    </row>
    <row r="64" spans="1:17" x14ac:dyDescent="0.25">
      <c r="A64">
        <v>2</v>
      </c>
      <c r="B64">
        <v>867</v>
      </c>
      <c r="C64">
        <v>4762</v>
      </c>
      <c r="D64">
        <v>985</v>
      </c>
      <c r="E64">
        <v>5257</v>
      </c>
      <c r="F64">
        <v>934</v>
      </c>
      <c r="G64">
        <v>5225</v>
      </c>
      <c r="H64">
        <v>1074</v>
      </c>
      <c r="I64">
        <v>5791</v>
      </c>
      <c r="J64">
        <v>513</v>
      </c>
      <c r="K64">
        <v>3471</v>
      </c>
      <c r="L64">
        <v>650</v>
      </c>
      <c r="M64">
        <v>3980</v>
      </c>
      <c r="N64">
        <v>550</v>
      </c>
      <c r="O64">
        <v>3774</v>
      </c>
      <c r="P64">
        <v>706</v>
      </c>
      <c r="Q64">
        <v>4360</v>
      </c>
    </row>
    <row r="65" spans="1:17" x14ac:dyDescent="0.25">
      <c r="A65">
        <v>3</v>
      </c>
      <c r="B65">
        <v>1319</v>
      </c>
      <c r="C65">
        <v>6903</v>
      </c>
      <c r="D65">
        <v>1587</v>
      </c>
      <c r="E65">
        <v>8082</v>
      </c>
      <c r="F65">
        <v>1442</v>
      </c>
      <c r="G65">
        <v>7556</v>
      </c>
      <c r="H65">
        <v>1750</v>
      </c>
      <c r="I65">
        <v>8961</v>
      </c>
      <c r="J65">
        <v>942</v>
      </c>
      <c r="K65">
        <v>5696</v>
      </c>
      <c r="L65">
        <v>1328</v>
      </c>
      <c r="M65">
        <v>6883</v>
      </c>
      <c r="N65">
        <v>1028</v>
      </c>
      <c r="O65">
        <v>6175</v>
      </c>
      <c r="P65">
        <v>1454</v>
      </c>
      <c r="Q65">
        <v>7564</v>
      </c>
    </row>
    <row r="66" spans="1:17" x14ac:dyDescent="0.25">
      <c r="A66">
        <v>4</v>
      </c>
      <c r="B66">
        <v>2713</v>
      </c>
      <c r="C66">
        <v>11819</v>
      </c>
      <c r="D66">
        <v>3548</v>
      </c>
      <c r="E66">
        <v>14980</v>
      </c>
      <c r="F66">
        <v>2990</v>
      </c>
      <c r="G66">
        <v>13129</v>
      </c>
      <c r="H66">
        <v>3994</v>
      </c>
      <c r="I66">
        <v>16783</v>
      </c>
      <c r="J66">
        <v>2256</v>
      </c>
      <c r="K66">
        <v>10635</v>
      </c>
      <c r="L66">
        <v>3520</v>
      </c>
      <c r="M66">
        <v>14253</v>
      </c>
      <c r="N66">
        <v>2443</v>
      </c>
      <c r="O66">
        <v>11661</v>
      </c>
      <c r="P66">
        <v>3885</v>
      </c>
      <c r="Q66">
        <v>15862</v>
      </c>
    </row>
    <row r="67" spans="1:17" x14ac:dyDescent="0.25">
      <c r="A67">
        <v>5</v>
      </c>
      <c r="B67">
        <v>7267</v>
      </c>
      <c r="C67">
        <v>26418</v>
      </c>
      <c r="D67">
        <v>11212</v>
      </c>
      <c r="E67">
        <v>39699</v>
      </c>
      <c r="F67">
        <v>7985</v>
      </c>
      <c r="G67">
        <v>29363</v>
      </c>
      <c r="H67">
        <v>12531</v>
      </c>
      <c r="I67">
        <v>44679</v>
      </c>
      <c r="J67">
        <v>7873</v>
      </c>
      <c r="K67">
        <v>26461</v>
      </c>
      <c r="L67">
        <v>13988</v>
      </c>
      <c r="M67">
        <v>43398</v>
      </c>
      <c r="N67">
        <v>8666</v>
      </c>
      <c r="O67">
        <v>29050</v>
      </c>
      <c r="P67">
        <v>15708</v>
      </c>
      <c r="Q67">
        <v>48636</v>
      </c>
    </row>
    <row r="68" spans="1:17" x14ac:dyDescent="0.25">
      <c r="A68">
        <v>6</v>
      </c>
      <c r="B68">
        <v>15098</v>
      </c>
      <c r="C68">
        <v>33513</v>
      </c>
      <c r="D68">
        <v>30925</v>
      </c>
      <c r="E68">
        <v>66869</v>
      </c>
      <c r="F68">
        <v>17045</v>
      </c>
      <c r="G68">
        <v>37649</v>
      </c>
      <c r="H68">
        <v>35519</v>
      </c>
      <c r="I68">
        <v>75944</v>
      </c>
      <c r="J68">
        <v>18435</v>
      </c>
      <c r="K68">
        <v>36883</v>
      </c>
      <c r="L68">
        <v>44946</v>
      </c>
      <c r="M68">
        <v>84550</v>
      </c>
      <c r="N68">
        <v>20698</v>
      </c>
      <c r="O68">
        <v>41156</v>
      </c>
      <c r="P68">
        <v>51565</v>
      </c>
      <c r="Q68">
        <v>95978</v>
      </c>
    </row>
    <row r="69" spans="1:17" x14ac:dyDescent="0.25">
      <c r="A69">
        <v>7</v>
      </c>
      <c r="B69">
        <v>15633</v>
      </c>
      <c r="C69">
        <v>24009</v>
      </c>
      <c r="D69">
        <v>33483</v>
      </c>
      <c r="E69">
        <v>51514</v>
      </c>
      <c r="F69">
        <v>17353</v>
      </c>
      <c r="G69">
        <v>26742</v>
      </c>
      <c r="H69">
        <v>38710</v>
      </c>
      <c r="I69">
        <v>58989</v>
      </c>
      <c r="J69">
        <v>14235</v>
      </c>
      <c r="K69">
        <v>20419</v>
      </c>
      <c r="L69">
        <v>44556</v>
      </c>
      <c r="M69">
        <v>63198</v>
      </c>
      <c r="N69">
        <v>15967</v>
      </c>
      <c r="O69">
        <v>22544</v>
      </c>
      <c r="P69">
        <v>51638</v>
      </c>
      <c r="Q69">
        <v>72319</v>
      </c>
    </row>
    <row r="70" spans="1:17" x14ac:dyDescent="0.25">
      <c r="A70">
        <v>8</v>
      </c>
      <c r="B70">
        <v>18712</v>
      </c>
      <c r="C70">
        <v>9080</v>
      </c>
      <c r="D70">
        <v>70622</v>
      </c>
      <c r="E70">
        <v>36653</v>
      </c>
      <c r="F70">
        <v>21577</v>
      </c>
      <c r="G70">
        <v>10286</v>
      </c>
      <c r="H70">
        <v>83118</v>
      </c>
      <c r="I70">
        <v>42768</v>
      </c>
      <c r="J70">
        <v>20030</v>
      </c>
      <c r="K70">
        <v>12251</v>
      </c>
      <c r="L70">
        <v>93421</v>
      </c>
      <c r="M70">
        <v>70553</v>
      </c>
      <c r="N70">
        <v>23721</v>
      </c>
      <c r="O70">
        <v>13992</v>
      </c>
      <c r="P70">
        <v>112449</v>
      </c>
      <c r="Q70">
        <v>80597</v>
      </c>
    </row>
    <row r="71" spans="1:17" x14ac:dyDescent="0.25">
      <c r="A71">
        <v>9</v>
      </c>
      <c r="B71">
        <v>5480</v>
      </c>
      <c r="C71">
        <v>7202</v>
      </c>
      <c r="D71">
        <v>20526</v>
      </c>
      <c r="E71">
        <v>25416</v>
      </c>
      <c r="F71">
        <v>6151</v>
      </c>
      <c r="G71">
        <v>8112</v>
      </c>
      <c r="H71">
        <v>24300</v>
      </c>
      <c r="I71">
        <v>29339</v>
      </c>
      <c r="J71">
        <v>14686</v>
      </c>
      <c r="K71">
        <v>11496</v>
      </c>
      <c r="L71">
        <v>43755</v>
      </c>
      <c r="M71">
        <v>40415</v>
      </c>
      <c r="N71">
        <v>17107</v>
      </c>
      <c r="O71">
        <v>13019</v>
      </c>
      <c r="P71">
        <v>53695</v>
      </c>
      <c r="Q71">
        <v>46840</v>
      </c>
    </row>
    <row r="72" spans="1:17" x14ac:dyDescent="0.25">
      <c r="A72">
        <v>10</v>
      </c>
      <c r="B72">
        <v>5038</v>
      </c>
      <c r="C72">
        <v>3333</v>
      </c>
      <c r="D72">
        <v>31484</v>
      </c>
      <c r="E72">
        <v>16434</v>
      </c>
      <c r="F72">
        <v>5729</v>
      </c>
      <c r="G72">
        <v>3719</v>
      </c>
      <c r="H72">
        <v>36093</v>
      </c>
      <c r="I72">
        <v>18611</v>
      </c>
      <c r="J72">
        <v>57650</v>
      </c>
      <c r="K72">
        <v>16547</v>
      </c>
      <c r="L72">
        <v>200497</v>
      </c>
      <c r="M72">
        <v>47693</v>
      </c>
      <c r="N72">
        <v>65120</v>
      </c>
      <c r="O72">
        <v>18593</v>
      </c>
      <c r="P72">
        <v>228731</v>
      </c>
      <c r="Q72">
        <v>54861</v>
      </c>
    </row>
    <row r="73" spans="1:17" x14ac:dyDescent="0.25">
      <c r="A73" t="s">
        <v>1</v>
      </c>
      <c r="B73">
        <f>SUM(B63:B72)</f>
        <v>72872</v>
      </c>
      <c r="C73">
        <f t="shared" ref="C73:I73" si="4">SUM(C63:C72)</f>
        <v>131142</v>
      </c>
      <c r="D73">
        <f t="shared" si="4"/>
        <v>205165</v>
      </c>
      <c r="E73">
        <f t="shared" si="4"/>
        <v>269279</v>
      </c>
      <c r="F73">
        <f t="shared" si="4"/>
        <v>82013</v>
      </c>
      <c r="G73">
        <f t="shared" si="4"/>
        <v>146243</v>
      </c>
      <c r="H73">
        <f t="shared" si="4"/>
        <v>237958</v>
      </c>
      <c r="I73">
        <f t="shared" si="4"/>
        <v>306638</v>
      </c>
      <c r="J73">
        <f>SUM(J63:J72)</f>
        <v>136907</v>
      </c>
      <c r="K73">
        <f t="shared" ref="K73:Q73" si="5">SUM(K63:K72)</f>
        <v>146052</v>
      </c>
      <c r="L73">
        <f t="shared" si="5"/>
        <v>446993</v>
      </c>
      <c r="M73">
        <f t="shared" si="5"/>
        <v>377307</v>
      </c>
      <c r="N73">
        <f t="shared" si="5"/>
        <v>155610</v>
      </c>
      <c r="O73">
        <f t="shared" si="5"/>
        <v>162321</v>
      </c>
      <c r="P73">
        <f t="shared" si="5"/>
        <v>520190</v>
      </c>
      <c r="Q73">
        <f t="shared" si="5"/>
        <v>429605</v>
      </c>
    </row>
    <row r="77" spans="1:17" x14ac:dyDescent="0.25">
      <c r="A77" s="1" t="s">
        <v>22</v>
      </c>
      <c r="B77" s="1"/>
      <c r="C77" s="1"/>
      <c r="D77" s="1"/>
      <c r="E77" s="1"/>
    </row>
    <row r="79" spans="1:17" x14ac:dyDescent="0.25">
      <c r="B79" t="s">
        <v>0</v>
      </c>
      <c r="J79" t="s">
        <v>17</v>
      </c>
    </row>
    <row r="80" spans="1:17" x14ac:dyDescent="0.25">
      <c r="B80" t="s">
        <v>8</v>
      </c>
      <c r="D80" t="s">
        <v>6</v>
      </c>
      <c r="F80" t="s">
        <v>9</v>
      </c>
      <c r="H80" t="s">
        <v>7</v>
      </c>
      <c r="J80" t="s">
        <v>8</v>
      </c>
      <c r="L80" t="s">
        <v>6</v>
      </c>
      <c r="N80" t="s">
        <v>9</v>
      </c>
      <c r="P80" t="s">
        <v>7</v>
      </c>
    </row>
    <row r="81" spans="1:17" x14ac:dyDescent="0.25">
      <c r="A81" t="s">
        <v>4</v>
      </c>
      <c r="B81" t="s">
        <v>2</v>
      </c>
      <c r="C81" t="s">
        <v>3</v>
      </c>
      <c r="D81" t="s">
        <v>2</v>
      </c>
      <c r="E81" t="s">
        <v>3</v>
      </c>
      <c r="F81" t="s">
        <v>2</v>
      </c>
      <c r="G81" t="s">
        <v>3</v>
      </c>
      <c r="H81" t="s">
        <v>2</v>
      </c>
      <c r="I81" t="s">
        <v>3</v>
      </c>
      <c r="J81" t="s">
        <v>2</v>
      </c>
      <c r="K81" t="s">
        <v>3</v>
      </c>
      <c r="L81" t="s">
        <v>2</v>
      </c>
      <c r="M81" t="s">
        <v>3</v>
      </c>
      <c r="N81" t="s">
        <v>2</v>
      </c>
      <c r="O81" t="s">
        <v>3</v>
      </c>
      <c r="P81" t="s">
        <v>2</v>
      </c>
      <c r="Q81" t="s">
        <v>3</v>
      </c>
    </row>
    <row r="82" spans="1:17" x14ac:dyDescent="0.25">
      <c r="A82">
        <v>1</v>
      </c>
      <c r="B82">
        <v>467</v>
      </c>
      <c r="C82">
        <v>3524</v>
      </c>
      <c r="D82">
        <v>497</v>
      </c>
      <c r="E82">
        <v>3742</v>
      </c>
      <c r="F82">
        <v>505</v>
      </c>
      <c r="G82">
        <v>3766</v>
      </c>
      <c r="H82">
        <v>544</v>
      </c>
      <c r="I82">
        <v>4008</v>
      </c>
      <c r="J82">
        <v>160</v>
      </c>
      <c r="K82">
        <v>1607</v>
      </c>
      <c r="L82">
        <v>187</v>
      </c>
      <c r="M82">
        <v>1761</v>
      </c>
      <c r="N82">
        <v>177</v>
      </c>
      <c r="O82">
        <v>1722</v>
      </c>
      <c r="P82">
        <v>205</v>
      </c>
      <c r="Q82">
        <v>1903</v>
      </c>
    </row>
    <row r="83" spans="1:17" x14ac:dyDescent="0.25">
      <c r="A83">
        <v>2</v>
      </c>
      <c r="B83">
        <v>550</v>
      </c>
      <c r="C83">
        <v>4089</v>
      </c>
      <c r="D83">
        <v>617</v>
      </c>
      <c r="E83">
        <v>4457</v>
      </c>
      <c r="F83">
        <v>588</v>
      </c>
      <c r="G83">
        <v>4405</v>
      </c>
      <c r="H83">
        <v>671</v>
      </c>
      <c r="I83">
        <v>4825</v>
      </c>
      <c r="J83">
        <v>283</v>
      </c>
      <c r="K83">
        <v>2563</v>
      </c>
      <c r="L83">
        <v>362</v>
      </c>
      <c r="M83">
        <v>2958</v>
      </c>
      <c r="N83">
        <v>300</v>
      </c>
      <c r="O83">
        <v>2782</v>
      </c>
      <c r="P83">
        <v>387</v>
      </c>
      <c r="Q83">
        <v>3221</v>
      </c>
    </row>
    <row r="84" spans="1:17" x14ac:dyDescent="0.25">
      <c r="A84">
        <v>3</v>
      </c>
      <c r="B84">
        <v>825</v>
      </c>
      <c r="C84">
        <v>5933</v>
      </c>
      <c r="D84">
        <v>965</v>
      </c>
      <c r="E84">
        <v>6804</v>
      </c>
      <c r="F84">
        <v>889</v>
      </c>
      <c r="G84">
        <v>6353</v>
      </c>
      <c r="H84">
        <v>1049</v>
      </c>
      <c r="I84">
        <v>7383</v>
      </c>
      <c r="J84">
        <v>543</v>
      </c>
      <c r="K84">
        <v>4279</v>
      </c>
      <c r="L84">
        <v>753</v>
      </c>
      <c r="M84">
        <v>5178</v>
      </c>
      <c r="N84">
        <v>591</v>
      </c>
      <c r="O84">
        <v>4623</v>
      </c>
      <c r="P84">
        <v>820</v>
      </c>
      <c r="Q84">
        <v>5655</v>
      </c>
    </row>
    <row r="85" spans="1:17" x14ac:dyDescent="0.25">
      <c r="A85">
        <v>4</v>
      </c>
      <c r="B85">
        <v>1703</v>
      </c>
      <c r="C85">
        <v>9860</v>
      </c>
      <c r="D85">
        <v>2190</v>
      </c>
      <c r="E85">
        <v>12186</v>
      </c>
      <c r="F85">
        <v>1846</v>
      </c>
      <c r="G85">
        <v>10722</v>
      </c>
      <c r="H85">
        <v>2410</v>
      </c>
      <c r="I85">
        <v>13386</v>
      </c>
      <c r="J85">
        <v>1262</v>
      </c>
      <c r="K85">
        <v>9725</v>
      </c>
      <c r="L85">
        <v>1932</v>
      </c>
      <c r="M85">
        <v>12441</v>
      </c>
      <c r="N85">
        <v>1350</v>
      </c>
      <c r="O85">
        <v>10513</v>
      </c>
      <c r="P85">
        <v>2095</v>
      </c>
      <c r="Q85">
        <v>13634</v>
      </c>
    </row>
    <row r="86" spans="1:17" x14ac:dyDescent="0.25">
      <c r="A86">
        <v>5</v>
      </c>
      <c r="B86">
        <v>6626</v>
      </c>
      <c r="C86">
        <v>23671</v>
      </c>
      <c r="D86">
        <v>9785</v>
      </c>
      <c r="E86">
        <v>33413</v>
      </c>
      <c r="F86">
        <v>7231</v>
      </c>
      <c r="G86">
        <v>25666</v>
      </c>
      <c r="H86">
        <v>10846</v>
      </c>
      <c r="I86">
        <v>36759</v>
      </c>
      <c r="J86">
        <v>7278</v>
      </c>
      <c r="K86">
        <v>23783</v>
      </c>
      <c r="L86">
        <v>12268</v>
      </c>
      <c r="M86">
        <v>36572</v>
      </c>
      <c r="N86">
        <v>7973</v>
      </c>
      <c r="O86">
        <v>25715</v>
      </c>
      <c r="P86">
        <v>13735</v>
      </c>
      <c r="Q86">
        <v>40391</v>
      </c>
    </row>
    <row r="87" spans="1:17" x14ac:dyDescent="0.25">
      <c r="A87">
        <v>6</v>
      </c>
      <c r="B87">
        <v>13288</v>
      </c>
      <c r="C87">
        <v>28528</v>
      </c>
      <c r="D87">
        <v>25099</v>
      </c>
      <c r="E87">
        <v>51456</v>
      </c>
      <c r="F87">
        <v>14835</v>
      </c>
      <c r="G87">
        <v>31197</v>
      </c>
      <c r="H87">
        <v>28753</v>
      </c>
      <c r="I87">
        <v>57330</v>
      </c>
      <c r="J87">
        <v>16559</v>
      </c>
      <c r="K87">
        <v>32268</v>
      </c>
      <c r="L87">
        <v>37073</v>
      </c>
      <c r="M87">
        <v>65908</v>
      </c>
      <c r="N87">
        <v>18479</v>
      </c>
      <c r="O87">
        <v>35452</v>
      </c>
      <c r="P87">
        <v>42580</v>
      </c>
      <c r="Q87">
        <v>74009</v>
      </c>
    </row>
    <row r="88" spans="1:17" x14ac:dyDescent="0.25">
      <c r="A88">
        <v>7</v>
      </c>
      <c r="B88">
        <v>13553</v>
      </c>
      <c r="C88">
        <v>20342</v>
      </c>
      <c r="D88">
        <v>27583</v>
      </c>
      <c r="E88">
        <v>40637</v>
      </c>
      <c r="F88">
        <v>14918</v>
      </c>
      <c r="G88">
        <v>22229</v>
      </c>
      <c r="H88">
        <v>31707</v>
      </c>
      <c r="I88">
        <v>45706</v>
      </c>
      <c r="J88">
        <v>12880</v>
      </c>
      <c r="K88">
        <v>18054</v>
      </c>
      <c r="L88">
        <v>37440</v>
      </c>
      <c r="M88">
        <v>50844</v>
      </c>
      <c r="N88">
        <v>14379</v>
      </c>
      <c r="O88">
        <v>19747</v>
      </c>
      <c r="P88">
        <v>43336</v>
      </c>
      <c r="Q88">
        <v>57594</v>
      </c>
    </row>
    <row r="89" spans="1:17" x14ac:dyDescent="0.25">
      <c r="A89">
        <v>8</v>
      </c>
      <c r="B89">
        <v>16176</v>
      </c>
      <c r="C89">
        <v>7583</v>
      </c>
      <c r="D89">
        <v>54016</v>
      </c>
      <c r="E89">
        <v>27007</v>
      </c>
      <c r="F89">
        <v>18590</v>
      </c>
      <c r="G89">
        <v>8501</v>
      </c>
      <c r="H89">
        <v>64171</v>
      </c>
      <c r="I89">
        <v>31410</v>
      </c>
      <c r="J89">
        <v>17582</v>
      </c>
      <c r="K89">
        <v>10108</v>
      </c>
      <c r="L89">
        <v>69683</v>
      </c>
      <c r="M89">
        <v>46265</v>
      </c>
      <c r="N89">
        <v>20806</v>
      </c>
      <c r="O89">
        <v>11467</v>
      </c>
      <c r="P89">
        <v>85522</v>
      </c>
      <c r="Q89">
        <v>53771</v>
      </c>
    </row>
    <row r="90" spans="1:17" x14ac:dyDescent="0.25">
      <c r="A90">
        <v>9</v>
      </c>
      <c r="B90">
        <v>4821</v>
      </c>
      <c r="C90">
        <v>6201</v>
      </c>
      <c r="D90">
        <v>16404</v>
      </c>
      <c r="E90">
        <v>18850</v>
      </c>
      <c r="F90">
        <v>5380</v>
      </c>
      <c r="G90">
        <v>6844</v>
      </c>
      <c r="H90">
        <v>19446</v>
      </c>
      <c r="I90">
        <v>21499</v>
      </c>
      <c r="J90">
        <v>13412</v>
      </c>
      <c r="K90">
        <v>10291</v>
      </c>
      <c r="L90">
        <v>36500</v>
      </c>
      <c r="M90">
        <v>30790</v>
      </c>
      <c r="N90">
        <v>15572</v>
      </c>
      <c r="O90">
        <v>11552</v>
      </c>
      <c r="P90">
        <v>44942</v>
      </c>
      <c r="Q90">
        <v>35538</v>
      </c>
    </row>
    <row r="91" spans="1:17" x14ac:dyDescent="0.25">
      <c r="A91">
        <v>10</v>
      </c>
      <c r="B91">
        <v>4513</v>
      </c>
      <c r="C91">
        <v>2845</v>
      </c>
      <c r="D91">
        <v>25695</v>
      </c>
      <c r="E91">
        <v>12411</v>
      </c>
      <c r="F91">
        <v>5138</v>
      </c>
      <c r="G91">
        <v>3129</v>
      </c>
      <c r="H91">
        <v>29563</v>
      </c>
      <c r="I91">
        <v>13990</v>
      </c>
      <c r="J91">
        <v>52271</v>
      </c>
      <c r="K91">
        <v>14622</v>
      </c>
      <c r="L91">
        <v>154094</v>
      </c>
      <c r="M91">
        <v>35366</v>
      </c>
      <c r="N91">
        <v>59043</v>
      </c>
      <c r="O91">
        <v>16396</v>
      </c>
      <c r="P91">
        <v>178345</v>
      </c>
      <c r="Q91">
        <v>40996</v>
      </c>
    </row>
    <row r="92" spans="1:17" x14ac:dyDescent="0.25">
      <c r="A92" t="s">
        <v>1</v>
      </c>
      <c r="B92">
        <f>SUM(B82:B91)</f>
        <v>62522</v>
      </c>
      <c r="C92">
        <f t="shared" ref="C92:I92" si="6">SUM(C82:C91)</f>
        <v>112576</v>
      </c>
      <c r="D92">
        <f t="shared" si="6"/>
        <v>162851</v>
      </c>
      <c r="E92">
        <f t="shared" si="6"/>
        <v>210963</v>
      </c>
      <c r="F92">
        <f t="shared" si="6"/>
        <v>69920</v>
      </c>
      <c r="G92">
        <f t="shared" si="6"/>
        <v>122812</v>
      </c>
      <c r="H92">
        <f t="shared" si="6"/>
        <v>189160</v>
      </c>
      <c r="I92">
        <f t="shared" si="6"/>
        <v>236296</v>
      </c>
      <c r="J92">
        <f>SUM(J82:J91)</f>
        <v>122230</v>
      </c>
      <c r="K92">
        <f t="shared" ref="K92:Q92" si="7">SUM(K82:K91)</f>
        <v>127300</v>
      </c>
      <c r="L92">
        <f t="shared" si="7"/>
        <v>350292</v>
      </c>
      <c r="M92">
        <f t="shared" si="7"/>
        <v>288083</v>
      </c>
      <c r="N92">
        <f t="shared" si="7"/>
        <v>138670</v>
      </c>
      <c r="O92">
        <f t="shared" si="7"/>
        <v>139969</v>
      </c>
      <c r="P92">
        <f t="shared" si="7"/>
        <v>411967</v>
      </c>
      <c r="Q92">
        <f t="shared" si="7"/>
        <v>326712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Synergie</vt:lpstr>
      <vt:lpstr>Syn012</vt:lpstr>
      <vt:lpstr>KGM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2017-02-01T12:09:41Z</dcterms:created>
  <dcterms:modified xsi:type="dcterms:W3CDTF">2025-12-30T10:28:18Z</dcterms:modified>
</cp:coreProperties>
</file>