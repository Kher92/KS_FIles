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E0AD8FA2-603C-446B-BE1D-B6709D98104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ynergie" sheetId="1" r:id="rId1"/>
    <sheet name="Syn012" sheetId="2" r:id="rId2"/>
    <sheet name="KG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3" l="1"/>
  <c r="G54" i="3"/>
  <c r="E54" i="3"/>
  <c r="C54" i="3"/>
  <c r="J44" i="3"/>
  <c r="J45" i="3" s="1"/>
  <c r="J46" i="3" s="1"/>
  <c r="J47" i="3" s="1"/>
  <c r="J48" i="3" s="1"/>
  <c r="J49" i="3" s="1"/>
  <c r="J50" i="3" s="1"/>
  <c r="J51" i="3" s="1"/>
  <c r="J52" i="3" s="1"/>
  <c r="J53" i="3" s="1"/>
  <c r="H44" i="3"/>
  <c r="H45" i="3" s="1"/>
  <c r="H46" i="3" s="1"/>
  <c r="H47" i="3" s="1"/>
  <c r="H48" i="3" s="1"/>
  <c r="H49" i="3" s="1"/>
  <c r="H50" i="3" s="1"/>
  <c r="H51" i="3" s="1"/>
  <c r="H52" i="3" s="1"/>
  <c r="H53" i="3" s="1"/>
  <c r="F44" i="3"/>
  <c r="F45" i="3" s="1"/>
  <c r="F46" i="3" s="1"/>
  <c r="F47" i="3" s="1"/>
  <c r="F48" i="3" s="1"/>
  <c r="F49" i="3" s="1"/>
  <c r="F50" i="3" s="1"/>
  <c r="F51" i="3" s="1"/>
  <c r="F52" i="3" s="1"/>
  <c r="F53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I25" i="3"/>
  <c r="G25" i="3"/>
  <c r="E25" i="3"/>
  <c r="C25" i="3"/>
  <c r="J15" i="3"/>
  <c r="J16" i="3" s="1"/>
  <c r="J17" i="3" s="1"/>
  <c r="J18" i="3" s="1"/>
  <c r="J19" i="3" s="1"/>
  <c r="J20" i="3" s="1"/>
  <c r="J21" i="3" s="1"/>
  <c r="J22" i="3" s="1"/>
  <c r="J23" i="3" s="1"/>
  <c r="J24" i="3" s="1"/>
  <c r="H15" i="3"/>
  <c r="H16" i="3" s="1"/>
  <c r="H17" i="3" s="1"/>
  <c r="H18" i="3" s="1"/>
  <c r="H19" i="3" s="1"/>
  <c r="H20" i="3" s="1"/>
  <c r="H21" i="3" s="1"/>
  <c r="H22" i="3" s="1"/>
  <c r="H23" i="3" s="1"/>
  <c r="H24" i="3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D15" i="3"/>
  <c r="D16" i="3" s="1"/>
  <c r="D17" i="3" s="1"/>
  <c r="D18" i="3" s="1"/>
  <c r="D19" i="3" s="1"/>
  <c r="D20" i="3" s="1"/>
  <c r="D21" i="3" s="1"/>
  <c r="D22" i="3" s="1"/>
  <c r="D23" i="3" s="1"/>
  <c r="D24" i="3" s="1"/>
  <c r="M51" i="2"/>
  <c r="K51" i="2"/>
  <c r="I51" i="2"/>
  <c r="G51" i="2"/>
  <c r="E51" i="2"/>
  <c r="C51" i="2"/>
  <c r="N41" i="2"/>
  <c r="N42" i="2" s="1"/>
  <c r="N43" i="2" s="1"/>
  <c r="N44" i="2" s="1"/>
  <c r="N45" i="2" s="1"/>
  <c r="N46" i="2" s="1"/>
  <c r="N47" i="2" s="1"/>
  <c r="N48" i="2" s="1"/>
  <c r="N49" i="2" s="1"/>
  <c r="N50" i="2" s="1"/>
  <c r="L41" i="2"/>
  <c r="L42" i="2" s="1"/>
  <c r="L43" i="2" s="1"/>
  <c r="L44" i="2" s="1"/>
  <c r="L45" i="2" s="1"/>
  <c r="L46" i="2" s="1"/>
  <c r="L47" i="2" s="1"/>
  <c r="L48" i="2" s="1"/>
  <c r="L49" i="2" s="1"/>
  <c r="L50" i="2" s="1"/>
  <c r="J41" i="2"/>
  <c r="J42" i="2" s="1"/>
  <c r="J43" i="2" s="1"/>
  <c r="J44" i="2" s="1"/>
  <c r="J45" i="2" s="1"/>
  <c r="J46" i="2" s="1"/>
  <c r="J47" i="2" s="1"/>
  <c r="J48" i="2" s="1"/>
  <c r="J49" i="2" s="1"/>
  <c r="J50" i="2" s="1"/>
  <c r="H41" i="2"/>
  <c r="H42" i="2" s="1"/>
  <c r="H43" i="2" s="1"/>
  <c r="H44" i="2" s="1"/>
  <c r="H45" i="2" s="1"/>
  <c r="H46" i="2" s="1"/>
  <c r="H47" i="2" s="1"/>
  <c r="H48" i="2" s="1"/>
  <c r="H49" i="2" s="1"/>
  <c r="H50" i="2" s="1"/>
  <c r="F41" i="2"/>
  <c r="F42" i="2" s="1"/>
  <c r="F43" i="2" s="1"/>
  <c r="F44" i="2" s="1"/>
  <c r="F45" i="2" s="1"/>
  <c r="F46" i="2" s="1"/>
  <c r="F47" i="2" s="1"/>
  <c r="F48" i="2" s="1"/>
  <c r="F49" i="2" s="1"/>
  <c r="F50" i="2" s="1"/>
  <c r="D41" i="2"/>
  <c r="D42" i="2" s="1"/>
  <c r="D43" i="2" s="1"/>
  <c r="D44" i="2" s="1"/>
  <c r="D45" i="2" s="1"/>
  <c r="D46" i="2" s="1"/>
  <c r="D47" i="2" s="1"/>
  <c r="D48" i="2" s="1"/>
  <c r="D49" i="2" s="1"/>
  <c r="D50" i="2" s="1"/>
  <c r="M25" i="2"/>
  <c r="K25" i="2"/>
  <c r="I25" i="2"/>
  <c r="G25" i="2"/>
  <c r="E25" i="2"/>
  <c r="C25" i="2"/>
  <c r="N15" i="2"/>
  <c r="N16" i="2" s="1"/>
  <c r="N17" i="2" s="1"/>
  <c r="N18" i="2" s="1"/>
  <c r="N19" i="2" s="1"/>
  <c r="N20" i="2" s="1"/>
  <c r="N21" i="2" s="1"/>
  <c r="N22" i="2" s="1"/>
  <c r="N23" i="2" s="1"/>
  <c r="N24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M49" i="1"/>
  <c r="K49" i="1"/>
  <c r="I49" i="1"/>
  <c r="G49" i="1"/>
  <c r="E49" i="1"/>
  <c r="C49" i="1"/>
  <c r="N39" i="1"/>
  <c r="N40" i="1" s="1"/>
  <c r="N41" i="1" s="1"/>
  <c r="N42" i="1" s="1"/>
  <c r="N43" i="1" s="1"/>
  <c r="N44" i="1" s="1"/>
  <c r="N45" i="1" s="1"/>
  <c r="N46" i="1" s="1"/>
  <c r="N47" i="1" s="1"/>
  <c r="N48" i="1" s="1"/>
  <c r="L39" i="1"/>
  <c r="L40" i="1" s="1"/>
  <c r="L41" i="1" s="1"/>
  <c r="L42" i="1" s="1"/>
  <c r="L43" i="1" s="1"/>
  <c r="L44" i="1" s="1"/>
  <c r="L45" i="1" s="1"/>
  <c r="L46" i="1" s="1"/>
  <c r="L47" i="1" s="1"/>
  <c r="L48" i="1" s="1"/>
  <c r="J39" i="1"/>
  <c r="J40" i="1" s="1"/>
  <c r="J41" i="1" s="1"/>
  <c r="J42" i="1" s="1"/>
  <c r="J43" i="1" s="1"/>
  <c r="J44" i="1" s="1"/>
  <c r="J45" i="1" s="1"/>
  <c r="J46" i="1" s="1"/>
  <c r="J47" i="1" s="1"/>
  <c r="J48" i="1" s="1"/>
  <c r="H39" i="1"/>
  <c r="H40" i="1" s="1"/>
  <c r="H41" i="1" s="1"/>
  <c r="H42" i="1" s="1"/>
  <c r="H43" i="1" s="1"/>
  <c r="H44" i="1" s="1"/>
  <c r="H45" i="1" s="1"/>
  <c r="H46" i="1" s="1"/>
  <c r="H47" i="1" s="1"/>
  <c r="H48" i="1" s="1"/>
  <c r="F39" i="1"/>
  <c r="F40" i="1" s="1"/>
  <c r="F41" i="1" s="1"/>
  <c r="F42" i="1" s="1"/>
  <c r="F43" i="1" s="1"/>
  <c r="F44" i="1" s="1"/>
  <c r="F45" i="1" s="1"/>
  <c r="F46" i="1" s="1"/>
  <c r="F47" i="1" s="1"/>
  <c r="F48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M25" i="1"/>
  <c r="K25" i="1"/>
  <c r="I25" i="1"/>
  <c r="G25" i="1"/>
  <c r="E25" i="1"/>
  <c r="C25" i="1"/>
  <c r="N15" i="1"/>
  <c r="N16" i="1" s="1"/>
  <c r="N17" i="1" s="1"/>
  <c r="N18" i="1" s="1"/>
  <c r="N19" i="1" s="1"/>
  <c r="N20" i="1" s="1"/>
  <c r="N21" i="1" s="1"/>
  <c r="N22" i="1" s="1"/>
  <c r="N23" i="1" s="1"/>
  <c r="N24" i="1" s="1"/>
  <c r="L15" i="1"/>
  <c r="L16" i="1" s="1"/>
  <c r="L17" i="1" s="1"/>
  <c r="L18" i="1" s="1"/>
  <c r="L19" i="1" s="1"/>
  <c r="L20" i="1" s="1"/>
  <c r="L21" i="1" s="1"/>
  <c r="L22" i="1" s="1"/>
  <c r="L23" i="1" s="1"/>
  <c r="L24" i="1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B6" i="1"/>
  <c r="B7" i="1"/>
  <c r="B7" i="3" l="1"/>
  <c r="B6" i="3"/>
  <c r="B7" i="2" l="1"/>
  <c r="B6" i="2"/>
</calcChain>
</file>

<file path=xl/sharedStrings.xml><?xml version="1.0" encoding="utf-8"?>
<sst xmlns="http://schemas.openxmlformats.org/spreadsheetml/2006/main" count="138" uniqueCount="19">
  <si>
    <t>Summe</t>
  </si>
  <si>
    <t>60-75J.</t>
  </si>
  <si>
    <t>Segment</t>
  </si>
  <si>
    <t>Ohne Einschränkung</t>
  </si>
  <si>
    <t>MB012</t>
  </si>
  <si>
    <t>MB024</t>
  </si>
  <si>
    <t>MB012_P</t>
  </si>
  <si>
    <t>MB024_P</t>
  </si>
  <si>
    <t>SR MB024_P</t>
  </si>
  <si>
    <t>SR MB024</t>
  </si>
  <si>
    <t>Kunde:</t>
  </si>
  <si>
    <t>Auftrag:</t>
  </si>
  <si>
    <t>Datum:</t>
  </si>
  <si>
    <t>Nutrisana Care GmbH</t>
  </si>
  <si>
    <t>Echtalter</t>
  </si>
  <si>
    <t>Frauen</t>
  </si>
  <si>
    <t>60-74J.</t>
  </si>
  <si>
    <t>Kumuliert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</si>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</sst>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5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3" borderId="0" xfId="0" applyFill="1"/>
    <xf numFmtId="3" fontId="4" fillId="4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/>
    <xf numFmtId="3" fontId="5" fillId="5" borderId="2" xfId="0" applyNumberFormat="1" applyFont="1" applyFill="1" applyBorder="1"/>
    <xf numFmtId="3" fontId="3" fillId="6" borderId="2" xfId="0" applyNumberFormat="1" applyFont="1" applyFill="1" applyBorder="1"/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389247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28282" cy="630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389247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28282" cy="6303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389247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6B1182B8-CA50-4D2A-A442-781531558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23482" cy="630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49"/>
  <sheetViews>
    <sheetView zoomScale="85" zoomScaleNormal="85" workbookViewId="0">
      <selection activeCell="R38" sqref="R38"/>
    </sheetView>
  </sheetViews>
  <sheetFormatPr baseColWidth="10" defaultRowHeight="15" x14ac:dyDescent="0.25"/>
  <cols>
    <col min="1" max="1" width="20" bestFit="1" customWidth="1"/>
    <col min="2" max="2" width="21" bestFit="1" customWidth="1"/>
    <col min="3" max="3" width="7.42578125" bestFit="1" customWidth="1"/>
    <col min="4" max="4" width="9.7109375" bestFit="1" customWidth="1"/>
    <col min="5" max="5" width="7.7109375" bestFit="1" customWidth="1"/>
    <col min="6" max="6" width="9.7109375" bestFit="1" customWidth="1"/>
    <col min="7" max="7" width="7.42578125" bestFit="1" customWidth="1"/>
    <col min="8" max="8" width="9.7109375" bestFit="1" customWidth="1"/>
    <col min="9" max="9" width="7.7109375" bestFit="1" customWidth="1"/>
    <col min="10" max="10" width="9.7109375" bestFit="1" customWidth="1"/>
    <col min="11" max="11" width="7.7109375" bestFit="1" customWidth="1"/>
    <col min="12" max="14" width="9.7109375" bestFit="1" customWidth="1"/>
  </cols>
  <sheetData>
    <row r="5" spans="1:14" x14ac:dyDescent="0.25">
      <c r="A5" s="2" t="s">
        <v>10</v>
      </c>
      <c r="B5" t="s">
        <v>13</v>
      </c>
    </row>
    <row r="6" spans="1:14" x14ac:dyDescent="0.25">
      <c r="A6" s="2" t="s">
        <v>11</v>
      </c>
      <c r="B6" t="str">
        <f ca="1">LEFT(MID(CELL("Dateiname",A1),FIND("[",CELL("Dateiname",A1))+1,FIND("]",CELL("Dateiname",A1))-FIND("[",CELL("Dateiname",A1))-1),14)</f>
        <v>2025-11-24-127</v>
      </c>
    </row>
    <row r="7" spans="1:14" x14ac:dyDescent="0.25">
      <c r="A7" s="2" t="s">
        <v>12</v>
      </c>
      <c r="B7" s="3">
        <f ca="1">TODAY()</f>
        <v>45999</v>
      </c>
    </row>
    <row r="10" spans="1:14" x14ac:dyDescent="0.25">
      <c r="A10" s="1" t="s">
        <v>3</v>
      </c>
      <c r="B10" s="1"/>
    </row>
    <row r="12" spans="1:14" x14ac:dyDescent="0.25">
      <c r="A12" s="5"/>
      <c r="B12" s="5"/>
      <c r="C12" s="11" t="s">
        <v>15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x14ac:dyDescent="0.25">
      <c r="A13" s="5"/>
      <c r="B13" s="5"/>
      <c r="C13" s="11" t="s">
        <v>6</v>
      </c>
      <c r="D13" s="13"/>
      <c r="E13" s="11" t="s">
        <v>4</v>
      </c>
      <c r="F13" s="13"/>
      <c r="G13" s="11" t="s">
        <v>7</v>
      </c>
      <c r="H13" s="13"/>
      <c r="I13" s="11" t="s">
        <v>5</v>
      </c>
      <c r="J13" s="13"/>
      <c r="K13" s="11" t="s">
        <v>8</v>
      </c>
      <c r="L13" s="13"/>
      <c r="M13" s="5" t="s">
        <v>9</v>
      </c>
      <c r="N13" s="5"/>
    </row>
    <row r="14" spans="1:14" x14ac:dyDescent="0.25">
      <c r="A14" s="5" t="s">
        <v>2</v>
      </c>
      <c r="B14" s="5" t="s">
        <v>18</v>
      </c>
      <c r="C14" s="5" t="s">
        <v>16</v>
      </c>
      <c r="D14" s="5" t="s">
        <v>17</v>
      </c>
      <c r="E14" s="5" t="s">
        <v>16</v>
      </c>
      <c r="F14" s="5" t="s">
        <v>17</v>
      </c>
      <c r="G14" s="5" t="s">
        <v>16</v>
      </c>
      <c r="H14" s="5" t="s">
        <v>17</v>
      </c>
      <c r="I14" s="5" t="s">
        <v>16</v>
      </c>
      <c r="J14" s="5" t="s">
        <v>17</v>
      </c>
      <c r="K14" s="5" t="s">
        <v>16</v>
      </c>
      <c r="L14" s="5" t="s">
        <v>17</v>
      </c>
      <c r="M14" s="5" t="s">
        <v>16</v>
      </c>
      <c r="N14" s="5" t="s">
        <v>17</v>
      </c>
    </row>
    <row r="15" spans="1:14" x14ac:dyDescent="0.25">
      <c r="A15" s="8">
        <v>1</v>
      </c>
      <c r="B15" s="9">
        <v>13313</v>
      </c>
      <c r="C15" s="8">
        <v>275</v>
      </c>
      <c r="D15" s="8">
        <f>C15</f>
        <v>275</v>
      </c>
      <c r="E15" s="8">
        <v>315</v>
      </c>
      <c r="F15" s="8">
        <f>E15</f>
        <v>315</v>
      </c>
      <c r="G15" s="8">
        <v>301</v>
      </c>
      <c r="H15" s="8">
        <f>G15</f>
        <v>301</v>
      </c>
      <c r="I15" s="8">
        <v>347</v>
      </c>
      <c r="J15" s="8">
        <f>I15</f>
        <v>347</v>
      </c>
      <c r="K15" s="8">
        <v>77</v>
      </c>
      <c r="L15" s="8">
        <f>K15</f>
        <v>77</v>
      </c>
      <c r="M15" s="8">
        <v>31</v>
      </c>
      <c r="N15" s="8">
        <f>M15</f>
        <v>31</v>
      </c>
    </row>
    <row r="16" spans="1:14" x14ac:dyDescent="0.25">
      <c r="A16" s="6">
        <v>2</v>
      </c>
      <c r="B16" s="10">
        <v>6374</v>
      </c>
      <c r="C16" s="6">
        <v>488</v>
      </c>
      <c r="D16" s="6">
        <f>C16+D15</f>
        <v>763</v>
      </c>
      <c r="E16" s="6">
        <v>609</v>
      </c>
      <c r="F16" s="6">
        <f>E16+F15</f>
        <v>924</v>
      </c>
      <c r="G16" s="6">
        <v>534</v>
      </c>
      <c r="H16" s="6">
        <f>G16+H15</f>
        <v>835</v>
      </c>
      <c r="I16" s="6">
        <v>668</v>
      </c>
      <c r="J16" s="6">
        <f>I16+J15</f>
        <v>1015</v>
      </c>
      <c r="K16" s="6">
        <v>217</v>
      </c>
      <c r="L16" s="6">
        <f>K16+L15</f>
        <v>294</v>
      </c>
      <c r="M16" s="6">
        <v>83</v>
      </c>
      <c r="N16" s="6">
        <f>M16+N15</f>
        <v>114</v>
      </c>
    </row>
    <row r="17" spans="1:14" x14ac:dyDescent="0.25">
      <c r="A17" s="8">
        <v>3</v>
      </c>
      <c r="B17" s="10">
        <v>2805</v>
      </c>
      <c r="C17" s="8">
        <v>917</v>
      </c>
      <c r="D17" s="8">
        <f t="shared" ref="D17:D24" si="0">C17+D16</f>
        <v>1680</v>
      </c>
      <c r="E17" s="8">
        <v>1224</v>
      </c>
      <c r="F17" s="8">
        <f t="shared" ref="F17:F24" si="1">E17+F16</f>
        <v>2148</v>
      </c>
      <c r="G17" s="8">
        <v>1007</v>
      </c>
      <c r="H17" s="8">
        <f t="shared" ref="H17:H24" si="2">G17+H16</f>
        <v>1842</v>
      </c>
      <c r="I17" s="8">
        <v>1361</v>
      </c>
      <c r="J17" s="8">
        <f t="shared" ref="J17:J24" si="3">I17+J16</f>
        <v>2376</v>
      </c>
      <c r="K17" s="8">
        <v>548</v>
      </c>
      <c r="L17" s="8">
        <f t="shared" ref="L17:L24" si="4">K17+L16</f>
        <v>842</v>
      </c>
      <c r="M17" s="8">
        <v>194</v>
      </c>
      <c r="N17" s="8">
        <f t="shared" ref="N17:N24" si="5">M17+N16</f>
        <v>308</v>
      </c>
    </row>
    <row r="18" spans="1:14" x14ac:dyDescent="0.25">
      <c r="A18" s="6">
        <v>4</v>
      </c>
      <c r="B18" s="10">
        <v>1143</v>
      </c>
      <c r="C18" s="6">
        <v>2192</v>
      </c>
      <c r="D18" s="6">
        <f t="shared" si="0"/>
        <v>3872</v>
      </c>
      <c r="E18" s="6">
        <v>3210</v>
      </c>
      <c r="F18" s="6">
        <f t="shared" si="1"/>
        <v>5358</v>
      </c>
      <c r="G18" s="6">
        <v>2401</v>
      </c>
      <c r="H18" s="6">
        <f t="shared" si="2"/>
        <v>4243</v>
      </c>
      <c r="I18" s="6">
        <v>3564</v>
      </c>
      <c r="J18" s="6">
        <f t="shared" si="3"/>
        <v>5940</v>
      </c>
      <c r="K18" s="6">
        <v>1900</v>
      </c>
      <c r="L18" s="6">
        <f t="shared" si="4"/>
        <v>2742</v>
      </c>
      <c r="M18" s="6">
        <v>737</v>
      </c>
      <c r="N18" s="6">
        <f t="shared" si="5"/>
        <v>1045</v>
      </c>
    </row>
    <row r="19" spans="1:14" x14ac:dyDescent="0.25">
      <c r="A19" s="8">
        <v>5</v>
      </c>
      <c r="B19" s="10">
        <v>269</v>
      </c>
      <c r="C19" s="8">
        <v>7588</v>
      </c>
      <c r="D19" s="8">
        <f t="shared" si="0"/>
        <v>11460</v>
      </c>
      <c r="E19" s="8">
        <v>12550</v>
      </c>
      <c r="F19" s="8">
        <f t="shared" si="1"/>
        <v>17908</v>
      </c>
      <c r="G19" s="8">
        <v>8692</v>
      </c>
      <c r="H19" s="8">
        <f t="shared" si="2"/>
        <v>12935</v>
      </c>
      <c r="I19" s="8">
        <v>14461</v>
      </c>
      <c r="J19" s="8">
        <f t="shared" si="3"/>
        <v>20401</v>
      </c>
      <c r="K19" s="8">
        <v>9917</v>
      </c>
      <c r="L19" s="8">
        <f t="shared" si="4"/>
        <v>12659</v>
      </c>
      <c r="M19" s="8">
        <v>4148</v>
      </c>
      <c r="N19" s="8">
        <f t="shared" si="5"/>
        <v>5193</v>
      </c>
    </row>
    <row r="20" spans="1:14" x14ac:dyDescent="0.25">
      <c r="A20" s="6">
        <v>6</v>
      </c>
      <c r="B20" s="10">
        <v>33</v>
      </c>
      <c r="C20" s="6">
        <v>17235</v>
      </c>
      <c r="D20" s="6">
        <f t="shared" si="0"/>
        <v>28695</v>
      </c>
      <c r="E20" s="6">
        <v>36432</v>
      </c>
      <c r="F20" s="6">
        <f t="shared" si="1"/>
        <v>54340</v>
      </c>
      <c r="G20" s="6">
        <v>20283</v>
      </c>
      <c r="H20" s="6">
        <f t="shared" si="2"/>
        <v>33218</v>
      </c>
      <c r="I20" s="6">
        <v>43000</v>
      </c>
      <c r="J20" s="6">
        <f t="shared" si="3"/>
        <v>63401</v>
      </c>
      <c r="K20" s="6">
        <v>43173</v>
      </c>
      <c r="L20" s="6">
        <f t="shared" si="4"/>
        <v>55832</v>
      </c>
      <c r="M20" s="6">
        <v>20456</v>
      </c>
      <c r="N20" s="6">
        <f t="shared" si="5"/>
        <v>25649</v>
      </c>
    </row>
    <row r="21" spans="1:14" x14ac:dyDescent="0.25">
      <c r="A21" s="8">
        <v>7</v>
      </c>
      <c r="B21" s="10">
        <v>7</v>
      </c>
      <c r="C21" s="8">
        <v>9614</v>
      </c>
      <c r="D21" s="8">
        <f t="shared" si="0"/>
        <v>38309</v>
      </c>
      <c r="E21" s="8">
        <v>26508</v>
      </c>
      <c r="F21" s="8">
        <f t="shared" si="1"/>
        <v>80848</v>
      </c>
      <c r="G21" s="8">
        <v>10802</v>
      </c>
      <c r="H21" s="8">
        <f t="shared" si="2"/>
        <v>44020</v>
      </c>
      <c r="I21" s="8">
        <v>30911</v>
      </c>
      <c r="J21" s="8">
        <f t="shared" si="3"/>
        <v>94312</v>
      </c>
      <c r="K21" s="8">
        <v>42334</v>
      </c>
      <c r="L21" s="8">
        <f t="shared" si="4"/>
        <v>98166</v>
      </c>
      <c r="M21" s="8">
        <v>22225</v>
      </c>
      <c r="N21" s="8">
        <f t="shared" si="5"/>
        <v>47874</v>
      </c>
    </row>
    <row r="22" spans="1:14" x14ac:dyDescent="0.25">
      <c r="A22" s="6">
        <v>8</v>
      </c>
      <c r="B22" s="10">
        <v>4</v>
      </c>
      <c r="C22" s="6">
        <v>2505</v>
      </c>
      <c r="D22" s="6">
        <f t="shared" si="0"/>
        <v>40814</v>
      </c>
      <c r="E22" s="6">
        <v>9857</v>
      </c>
      <c r="F22" s="6">
        <f t="shared" si="1"/>
        <v>90705</v>
      </c>
      <c r="G22" s="6">
        <v>2916</v>
      </c>
      <c r="H22" s="6">
        <f t="shared" si="2"/>
        <v>46936</v>
      </c>
      <c r="I22" s="6">
        <v>11735</v>
      </c>
      <c r="J22" s="6">
        <f t="shared" si="3"/>
        <v>106047</v>
      </c>
      <c r="K22" s="6">
        <v>21571</v>
      </c>
      <c r="L22" s="6">
        <f t="shared" si="4"/>
        <v>119737</v>
      </c>
      <c r="M22" s="6">
        <v>12752</v>
      </c>
      <c r="N22" s="6">
        <f t="shared" si="5"/>
        <v>60626</v>
      </c>
    </row>
    <row r="23" spans="1:14" x14ac:dyDescent="0.25">
      <c r="A23" s="8">
        <v>9</v>
      </c>
      <c r="B23" s="10">
        <v>2</v>
      </c>
      <c r="C23" s="8">
        <v>7366</v>
      </c>
      <c r="D23" s="8">
        <f t="shared" si="0"/>
        <v>48180</v>
      </c>
      <c r="E23" s="8">
        <v>22451</v>
      </c>
      <c r="F23" s="8">
        <f t="shared" si="1"/>
        <v>113156</v>
      </c>
      <c r="G23" s="8">
        <v>8296</v>
      </c>
      <c r="H23" s="8">
        <f t="shared" si="2"/>
        <v>55232</v>
      </c>
      <c r="I23" s="8">
        <v>26090</v>
      </c>
      <c r="J23" s="8">
        <f t="shared" si="3"/>
        <v>132137</v>
      </c>
      <c r="K23" s="8">
        <v>37512</v>
      </c>
      <c r="L23" s="8">
        <f t="shared" si="4"/>
        <v>157249</v>
      </c>
      <c r="M23" s="8">
        <v>19718</v>
      </c>
      <c r="N23" s="8">
        <f t="shared" si="5"/>
        <v>80344</v>
      </c>
    </row>
    <row r="24" spans="1:14" x14ac:dyDescent="0.25">
      <c r="A24" s="6">
        <v>10</v>
      </c>
      <c r="B24" s="10">
        <v>1</v>
      </c>
      <c r="C24" s="6">
        <v>12319</v>
      </c>
      <c r="D24" s="6">
        <f t="shared" si="0"/>
        <v>60499</v>
      </c>
      <c r="E24" s="6">
        <v>32258</v>
      </c>
      <c r="F24" s="6">
        <f t="shared" si="1"/>
        <v>145414</v>
      </c>
      <c r="G24" s="6">
        <v>13806</v>
      </c>
      <c r="H24" s="6">
        <f t="shared" si="2"/>
        <v>69038</v>
      </c>
      <c r="I24" s="6">
        <v>37363</v>
      </c>
      <c r="J24" s="6">
        <f t="shared" si="3"/>
        <v>169500</v>
      </c>
      <c r="K24" s="6">
        <v>41522</v>
      </c>
      <c r="L24" s="6">
        <f t="shared" si="4"/>
        <v>198771</v>
      </c>
      <c r="M24" s="6">
        <v>17965</v>
      </c>
      <c r="N24" s="6">
        <f t="shared" si="5"/>
        <v>98309</v>
      </c>
    </row>
    <row r="25" spans="1:14" x14ac:dyDescent="0.25">
      <c r="A25" s="7" t="s">
        <v>0</v>
      </c>
      <c r="B25" s="7"/>
      <c r="C25" s="7">
        <f>SUM(C15:C24)</f>
        <v>60499</v>
      </c>
      <c r="D25" s="7"/>
      <c r="E25" s="7">
        <f>SUM(E15:E24)</f>
        <v>145414</v>
      </c>
      <c r="F25" s="7"/>
      <c r="G25" s="7">
        <f>SUM(G15:G24)</f>
        <v>69038</v>
      </c>
      <c r="H25" s="7"/>
      <c r="I25" s="7">
        <f>SUM(I15:I24)</f>
        <v>169500</v>
      </c>
      <c r="J25" s="7"/>
      <c r="K25" s="7">
        <f>SUM(K15:K24)</f>
        <v>198771</v>
      </c>
      <c r="L25" s="7"/>
      <c r="M25" s="7">
        <f>SUM(M15:M24)</f>
        <v>98309</v>
      </c>
      <c r="N25" s="7"/>
    </row>
    <row r="35" spans="1:14" x14ac:dyDescent="0.25">
      <c r="A35" s="5" t="s">
        <v>14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5"/>
      <c r="B36" s="5"/>
      <c r="C36" s="11" t="s">
        <v>15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4" x14ac:dyDescent="0.25">
      <c r="A37" s="5"/>
      <c r="B37" s="5"/>
      <c r="C37" s="11" t="s">
        <v>6</v>
      </c>
      <c r="D37" s="13"/>
      <c r="E37" s="11" t="s">
        <v>4</v>
      </c>
      <c r="F37" s="13"/>
      <c r="G37" s="11" t="s">
        <v>7</v>
      </c>
      <c r="H37" s="13"/>
      <c r="I37" s="11" t="s">
        <v>5</v>
      </c>
      <c r="J37" s="13"/>
      <c r="K37" s="11" t="s">
        <v>8</v>
      </c>
      <c r="L37" s="13"/>
      <c r="M37" s="5" t="s">
        <v>9</v>
      </c>
      <c r="N37" s="5"/>
    </row>
    <row r="38" spans="1:14" x14ac:dyDescent="0.25">
      <c r="A38" s="5" t="s">
        <v>2</v>
      </c>
      <c r="B38" s="5" t="s">
        <v>18</v>
      </c>
      <c r="C38" s="5" t="s">
        <v>16</v>
      </c>
      <c r="D38" s="5" t="s">
        <v>17</v>
      </c>
      <c r="E38" s="5" t="s">
        <v>16</v>
      </c>
      <c r="F38" s="5" t="s">
        <v>17</v>
      </c>
      <c r="G38" s="5" t="s">
        <v>16</v>
      </c>
      <c r="H38" s="5" t="s">
        <v>17</v>
      </c>
      <c r="I38" s="5" t="s">
        <v>16</v>
      </c>
      <c r="J38" s="5" t="s">
        <v>17</v>
      </c>
      <c r="K38" s="5" t="s">
        <v>16</v>
      </c>
      <c r="L38" s="5" t="s">
        <v>17</v>
      </c>
      <c r="M38" s="5" t="s">
        <v>16</v>
      </c>
      <c r="N38" s="5" t="s">
        <v>17</v>
      </c>
    </row>
    <row r="39" spans="1:14" x14ac:dyDescent="0.25">
      <c r="A39" s="8">
        <v>1</v>
      </c>
      <c r="B39" s="9">
        <v>13313</v>
      </c>
      <c r="C39" s="8">
        <v>275</v>
      </c>
      <c r="D39" s="8">
        <f>C39</f>
        <v>275</v>
      </c>
      <c r="E39" s="8">
        <v>314</v>
      </c>
      <c r="F39" s="8">
        <f>E39</f>
        <v>314</v>
      </c>
      <c r="G39" s="8">
        <v>300</v>
      </c>
      <c r="H39" s="8">
        <f>G39</f>
        <v>300</v>
      </c>
      <c r="I39" s="8">
        <v>344</v>
      </c>
      <c r="J39" s="8">
        <f>I39</f>
        <v>344</v>
      </c>
      <c r="K39" s="8">
        <v>75</v>
      </c>
      <c r="L39" s="8">
        <f>K39</f>
        <v>75</v>
      </c>
      <c r="M39" s="8">
        <v>31</v>
      </c>
      <c r="N39" s="8">
        <f>M39</f>
        <v>31</v>
      </c>
    </row>
    <row r="40" spans="1:14" x14ac:dyDescent="0.25">
      <c r="A40" s="6">
        <v>2</v>
      </c>
      <c r="B40" s="10">
        <v>6374</v>
      </c>
      <c r="C40" s="6">
        <v>488</v>
      </c>
      <c r="D40" s="6">
        <f>C40+D39</f>
        <v>763</v>
      </c>
      <c r="E40" s="6">
        <v>605</v>
      </c>
      <c r="F40" s="6">
        <f>E40+F39</f>
        <v>919</v>
      </c>
      <c r="G40" s="6">
        <v>534</v>
      </c>
      <c r="H40" s="6">
        <f>G40+H39</f>
        <v>834</v>
      </c>
      <c r="I40" s="6">
        <v>664</v>
      </c>
      <c r="J40" s="6">
        <f>I40+J39</f>
        <v>1008</v>
      </c>
      <c r="K40" s="6">
        <v>212</v>
      </c>
      <c r="L40" s="6">
        <f>K40+L39</f>
        <v>287</v>
      </c>
      <c r="M40" s="6">
        <v>82</v>
      </c>
      <c r="N40" s="6">
        <f>M40+N39</f>
        <v>113</v>
      </c>
    </row>
    <row r="41" spans="1:14" x14ac:dyDescent="0.25">
      <c r="A41" s="8">
        <v>3</v>
      </c>
      <c r="B41" s="10">
        <v>2805</v>
      </c>
      <c r="C41" s="8">
        <v>912</v>
      </c>
      <c r="D41" s="8">
        <f t="shared" ref="D41:D48" si="6">C41+D40</f>
        <v>1675</v>
      </c>
      <c r="E41" s="8">
        <v>1211</v>
      </c>
      <c r="F41" s="8">
        <f t="shared" ref="F41:F48" si="7">E41+F40</f>
        <v>2130</v>
      </c>
      <c r="G41" s="8">
        <v>1001</v>
      </c>
      <c r="H41" s="8">
        <f t="shared" ref="H41:H48" si="8">G41+H40</f>
        <v>1835</v>
      </c>
      <c r="I41" s="8">
        <v>1348</v>
      </c>
      <c r="J41" s="8">
        <f t="shared" ref="J41:J48" si="9">I41+J40</f>
        <v>2356</v>
      </c>
      <c r="K41" s="8">
        <v>535</v>
      </c>
      <c r="L41" s="8">
        <f t="shared" ref="L41:L48" si="10">K41+L40</f>
        <v>822</v>
      </c>
      <c r="M41" s="8">
        <v>188</v>
      </c>
      <c r="N41" s="8">
        <f t="shared" ref="N41:N48" si="11">M41+N40</f>
        <v>301</v>
      </c>
    </row>
    <row r="42" spans="1:14" x14ac:dyDescent="0.25">
      <c r="A42" s="6">
        <v>4</v>
      </c>
      <c r="B42" s="10">
        <v>1143</v>
      </c>
      <c r="C42" s="6">
        <v>2176</v>
      </c>
      <c r="D42" s="6">
        <f t="shared" si="6"/>
        <v>3851</v>
      </c>
      <c r="E42" s="6">
        <v>3160</v>
      </c>
      <c r="F42" s="6">
        <f t="shared" si="7"/>
        <v>5290</v>
      </c>
      <c r="G42" s="6">
        <v>2382</v>
      </c>
      <c r="H42" s="6">
        <f t="shared" si="8"/>
        <v>4217</v>
      </c>
      <c r="I42" s="6">
        <v>3506</v>
      </c>
      <c r="J42" s="6">
        <f t="shared" si="9"/>
        <v>5862</v>
      </c>
      <c r="K42" s="6">
        <v>1832</v>
      </c>
      <c r="L42" s="6">
        <f t="shared" si="10"/>
        <v>2654</v>
      </c>
      <c r="M42" s="6">
        <v>708</v>
      </c>
      <c r="N42" s="6">
        <f t="shared" si="11"/>
        <v>1009</v>
      </c>
    </row>
    <row r="43" spans="1:14" x14ac:dyDescent="0.25">
      <c r="A43" s="8">
        <v>5</v>
      </c>
      <c r="B43" s="10">
        <v>269</v>
      </c>
      <c r="C43" s="8">
        <v>7540</v>
      </c>
      <c r="D43" s="8">
        <f t="shared" si="6"/>
        <v>11391</v>
      </c>
      <c r="E43" s="8">
        <v>12331</v>
      </c>
      <c r="F43" s="8">
        <f t="shared" si="7"/>
        <v>17621</v>
      </c>
      <c r="G43" s="8">
        <v>8634</v>
      </c>
      <c r="H43" s="8">
        <f t="shared" si="8"/>
        <v>12851</v>
      </c>
      <c r="I43" s="8">
        <v>14202</v>
      </c>
      <c r="J43" s="8">
        <f t="shared" si="9"/>
        <v>20064</v>
      </c>
      <c r="K43" s="8">
        <v>9594</v>
      </c>
      <c r="L43" s="8">
        <f t="shared" si="10"/>
        <v>12248</v>
      </c>
      <c r="M43" s="8">
        <v>4026</v>
      </c>
      <c r="N43" s="8">
        <f t="shared" si="11"/>
        <v>5035</v>
      </c>
    </row>
    <row r="44" spans="1:14" x14ac:dyDescent="0.25">
      <c r="A44" s="6">
        <v>6</v>
      </c>
      <c r="B44" s="10">
        <v>33</v>
      </c>
      <c r="C44" s="6">
        <v>16902</v>
      </c>
      <c r="D44" s="6">
        <f t="shared" si="6"/>
        <v>28293</v>
      </c>
      <c r="E44" s="6">
        <v>35471</v>
      </c>
      <c r="F44" s="6">
        <f t="shared" si="7"/>
        <v>53092</v>
      </c>
      <c r="G44" s="6">
        <v>19885</v>
      </c>
      <c r="H44" s="6">
        <f t="shared" si="8"/>
        <v>32736</v>
      </c>
      <c r="I44" s="6">
        <v>41875</v>
      </c>
      <c r="J44" s="6">
        <f t="shared" si="9"/>
        <v>61939</v>
      </c>
      <c r="K44" s="6">
        <v>41468</v>
      </c>
      <c r="L44" s="6">
        <f t="shared" si="10"/>
        <v>53716</v>
      </c>
      <c r="M44" s="6">
        <v>19478</v>
      </c>
      <c r="N44" s="6">
        <f t="shared" si="11"/>
        <v>24513</v>
      </c>
    </row>
    <row r="45" spans="1:14" x14ac:dyDescent="0.25">
      <c r="A45" s="8">
        <v>7</v>
      </c>
      <c r="B45" s="10">
        <v>7</v>
      </c>
      <c r="C45" s="8">
        <v>9232</v>
      </c>
      <c r="D45" s="8">
        <f t="shared" si="6"/>
        <v>37525</v>
      </c>
      <c r="E45" s="8">
        <v>25039</v>
      </c>
      <c r="F45" s="8">
        <f t="shared" si="7"/>
        <v>78131</v>
      </c>
      <c r="G45" s="8">
        <v>10374</v>
      </c>
      <c r="H45" s="8">
        <f t="shared" si="8"/>
        <v>43110</v>
      </c>
      <c r="I45" s="8">
        <v>29237</v>
      </c>
      <c r="J45" s="8">
        <f t="shared" si="9"/>
        <v>91176</v>
      </c>
      <c r="K45" s="8">
        <v>39620</v>
      </c>
      <c r="L45" s="8">
        <f t="shared" si="10"/>
        <v>93336</v>
      </c>
      <c r="M45" s="8">
        <v>20757</v>
      </c>
      <c r="N45" s="8">
        <f t="shared" si="11"/>
        <v>45270</v>
      </c>
    </row>
    <row r="46" spans="1:14" x14ac:dyDescent="0.25">
      <c r="A46" s="6">
        <v>8</v>
      </c>
      <c r="B46" s="10">
        <v>4</v>
      </c>
      <c r="C46" s="6">
        <v>2402</v>
      </c>
      <c r="D46" s="6">
        <f t="shared" si="6"/>
        <v>39927</v>
      </c>
      <c r="E46" s="6">
        <v>9215</v>
      </c>
      <c r="F46" s="6">
        <f t="shared" si="7"/>
        <v>87346</v>
      </c>
      <c r="G46" s="6">
        <v>2788</v>
      </c>
      <c r="H46" s="6">
        <f t="shared" si="8"/>
        <v>45898</v>
      </c>
      <c r="I46" s="6">
        <v>11003</v>
      </c>
      <c r="J46" s="6">
        <f t="shared" si="9"/>
        <v>102179</v>
      </c>
      <c r="K46" s="6">
        <v>19750</v>
      </c>
      <c r="L46" s="6">
        <f t="shared" si="10"/>
        <v>113086</v>
      </c>
      <c r="M46" s="6">
        <v>11535</v>
      </c>
      <c r="N46" s="6">
        <f t="shared" si="11"/>
        <v>56805</v>
      </c>
    </row>
    <row r="47" spans="1:14" x14ac:dyDescent="0.25">
      <c r="A47" s="8">
        <v>9</v>
      </c>
      <c r="B47" s="10">
        <v>2</v>
      </c>
      <c r="C47" s="8">
        <v>7228</v>
      </c>
      <c r="D47" s="8">
        <f t="shared" si="6"/>
        <v>47155</v>
      </c>
      <c r="E47" s="8">
        <v>21404</v>
      </c>
      <c r="F47" s="8">
        <f t="shared" si="7"/>
        <v>108750</v>
      </c>
      <c r="G47" s="8">
        <v>8135</v>
      </c>
      <c r="H47" s="8">
        <f t="shared" si="8"/>
        <v>54033</v>
      </c>
      <c r="I47" s="8">
        <v>24910</v>
      </c>
      <c r="J47" s="8">
        <f t="shared" si="9"/>
        <v>127089</v>
      </c>
      <c r="K47" s="8">
        <v>35295</v>
      </c>
      <c r="L47" s="8">
        <f t="shared" si="10"/>
        <v>148381</v>
      </c>
      <c r="M47" s="8">
        <v>18520</v>
      </c>
      <c r="N47" s="8">
        <f t="shared" si="11"/>
        <v>75325</v>
      </c>
    </row>
    <row r="48" spans="1:14" x14ac:dyDescent="0.25">
      <c r="A48" s="6">
        <v>10</v>
      </c>
      <c r="B48" s="10">
        <v>1</v>
      </c>
      <c r="C48" s="6">
        <v>12259</v>
      </c>
      <c r="D48" s="6">
        <f t="shared" si="6"/>
        <v>59414</v>
      </c>
      <c r="E48" s="6">
        <v>31785</v>
      </c>
      <c r="F48" s="6">
        <f t="shared" si="7"/>
        <v>140535</v>
      </c>
      <c r="G48" s="6">
        <v>13736</v>
      </c>
      <c r="H48" s="6">
        <f t="shared" si="8"/>
        <v>67769</v>
      </c>
      <c r="I48" s="6">
        <v>36805</v>
      </c>
      <c r="J48" s="6">
        <f t="shared" si="9"/>
        <v>163894</v>
      </c>
      <c r="K48" s="6">
        <v>40374</v>
      </c>
      <c r="L48" s="6">
        <f t="shared" si="10"/>
        <v>188755</v>
      </c>
      <c r="M48" s="6">
        <v>17305</v>
      </c>
      <c r="N48" s="6">
        <f t="shared" si="11"/>
        <v>92630</v>
      </c>
    </row>
    <row r="49" spans="1:14" x14ac:dyDescent="0.25">
      <c r="A49" s="7" t="s">
        <v>0</v>
      </c>
      <c r="B49" s="7"/>
      <c r="C49" s="7">
        <f>SUM(C39:C48)</f>
        <v>59414</v>
      </c>
      <c r="D49" s="7"/>
      <c r="E49" s="7">
        <f>SUM(E39:E48)</f>
        <v>140535</v>
      </c>
      <c r="F49" s="7"/>
      <c r="G49" s="7">
        <f>SUM(G39:G48)</f>
        <v>67769</v>
      </c>
      <c r="H49" s="7"/>
      <c r="I49" s="7">
        <f>SUM(I39:I48)</f>
        <v>163894</v>
      </c>
      <c r="J49" s="7"/>
      <c r="K49" s="7">
        <f>SUM(K39:K48)</f>
        <v>188755</v>
      </c>
      <c r="L49" s="7"/>
      <c r="M49" s="7">
        <f>SUM(M39:M48)</f>
        <v>92630</v>
      </c>
      <c r="N49" s="7"/>
    </row>
  </sheetData>
  <mergeCells count="12">
    <mergeCell ref="C12:N12"/>
    <mergeCell ref="C13:D13"/>
    <mergeCell ref="E13:F13"/>
    <mergeCell ref="G13:H13"/>
    <mergeCell ref="I13:J13"/>
    <mergeCell ref="K13:L13"/>
    <mergeCell ref="C36:N36"/>
    <mergeCell ref="C37:D37"/>
    <mergeCell ref="E37:F37"/>
    <mergeCell ref="G37:H37"/>
    <mergeCell ref="I37:J37"/>
    <mergeCell ref="K37:L3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N51"/>
  <sheetViews>
    <sheetView zoomScale="85" zoomScaleNormal="85" workbookViewId="0">
      <selection activeCell="R32" sqref="R32"/>
    </sheetView>
  </sheetViews>
  <sheetFormatPr baseColWidth="10" defaultRowHeight="15" x14ac:dyDescent="0.25"/>
  <cols>
    <col min="1" max="1" width="20" bestFit="1" customWidth="1"/>
    <col min="2" max="2" width="21" bestFit="1" customWidth="1"/>
    <col min="3" max="3" width="7.42578125" bestFit="1" customWidth="1"/>
    <col min="4" max="4" width="9.7109375" bestFit="1" customWidth="1"/>
    <col min="5" max="5" width="7.5703125" bestFit="1" customWidth="1"/>
    <col min="6" max="6" width="9.7109375" bestFit="1" customWidth="1"/>
    <col min="7" max="7" width="7.42578125" bestFit="1" customWidth="1"/>
    <col min="8" max="8" width="9.7109375" bestFit="1" customWidth="1"/>
    <col min="9" max="9" width="7.42578125" bestFit="1" customWidth="1"/>
    <col min="10" max="10" width="9.7109375" bestFit="1" customWidth="1"/>
    <col min="11" max="11" width="7.42578125" bestFit="1" customWidth="1"/>
    <col min="12" max="14" width="9.7109375" bestFit="1" customWidth="1"/>
  </cols>
  <sheetData>
    <row r="5" spans="1:14" x14ac:dyDescent="0.25">
      <c r="A5" s="2" t="s">
        <v>10</v>
      </c>
      <c r="B5" t="s">
        <v>13</v>
      </c>
    </row>
    <row r="6" spans="1:14" x14ac:dyDescent="0.25">
      <c r="A6" s="2" t="s">
        <v>11</v>
      </c>
      <c r="B6" t="str">
        <f ca="1">LEFT(MID(CELL("Dateiname",A1),FIND("[",CELL("Dateiname",A1))+1,FIND("]",CELL("Dateiname",A1))-FIND("[",CELL("Dateiname",A1))-1),14)</f>
        <v>2025-11-24-127</v>
      </c>
    </row>
    <row r="7" spans="1:14" x14ac:dyDescent="0.25">
      <c r="A7" s="2" t="s">
        <v>12</v>
      </c>
      <c r="B7" s="3">
        <f ca="1">TODAY()</f>
        <v>45999</v>
      </c>
    </row>
    <row r="10" spans="1:14" x14ac:dyDescent="0.25">
      <c r="A10" s="1" t="s">
        <v>3</v>
      </c>
      <c r="B10" s="1"/>
      <c r="C10" s="1"/>
      <c r="D10" s="1"/>
      <c r="E10" s="1"/>
      <c r="F10" s="1"/>
      <c r="G10" s="1"/>
      <c r="H10" s="1"/>
    </row>
    <row r="12" spans="1:14" x14ac:dyDescent="0.25">
      <c r="A12" s="5"/>
      <c r="B12" s="5"/>
      <c r="C12" s="11" t="s">
        <v>15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x14ac:dyDescent="0.25">
      <c r="A13" s="5"/>
      <c r="B13" s="5"/>
      <c r="C13" s="11" t="s">
        <v>6</v>
      </c>
      <c r="D13" s="13"/>
      <c r="E13" s="11" t="s">
        <v>4</v>
      </c>
      <c r="F13" s="13"/>
      <c r="G13" s="11" t="s">
        <v>7</v>
      </c>
      <c r="H13" s="13"/>
      <c r="I13" s="11" t="s">
        <v>5</v>
      </c>
      <c r="J13" s="13"/>
      <c r="K13" s="11" t="s">
        <v>8</v>
      </c>
      <c r="L13" s="13"/>
      <c r="M13" s="5" t="s">
        <v>9</v>
      </c>
      <c r="N13" s="5"/>
    </row>
    <row r="14" spans="1:14" x14ac:dyDescent="0.25">
      <c r="A14" s="5" t="s">
        <v>2</v>
      </c>
      <c r="B14" s="5" t="s">
        <v>18</v>
      </c>
      <c r="C14" s="5" t="s">
        <v>1</v>
      </c>
      <c r="D14" s="5" t="s">
        <v>17</v>
      </c>
      <c r="E14" s="5" t="s">
        <v>1</v>
      </c>
      <c r="F14" s="5" t="s">
        <v>17</v>
      </c>
      <c r="G14" s="5" t="s">
        <v>1</v>
      </c>
      <c r="H14" s="5" t="s">
        <v>17</v>
      </c>
      <c r="I14" s="5" t="s">
        <v>1</v>
      </c>
      <c r="J14" s="5" t="s">
        <v>17</v>
      </c>
      <c r="K14" s="5" t="s">
        <v>1</v>
      </c>
      <c r="L14" s="5" t="s">
        <v>17</v>
      </c>
      <c r="M14" s="5" t="s">
        <v>1</v>
      </c>
      <c r="N14" s="5" t="s">
        <v>17</v>
      </c>
    </row>
    <row r="15" spans="1:14" x14ac:dyDescent="0.25">
      <c r="A15" s="8">
        <v>1</v>
      </c>
      <c r="B15" s="9">
        <v>13313</v>
      </c>
      <c r="C15" s="8">
        <v>252</v>
      </c>
      <c r="D15" s="8">
        <f>C15</f>
        <v>252</v>
      </c>
      <c r="E15" s="8">
        <v>288</v>
      </c>
      <c r="F15" s="8">
        <f>E15</f>
        <v>288</v>
      </c>
      <c r="G15" s="8">
        <v>252</v>
      </c>
      <c r="H15" s="8">
        <f>G15</f>
        <v>252</v>
      </c>
      <c r="I15" s="8">
        <v>288</v>
      </c>
      <c r="J15" s="8">
        <f>I15</f>
        <v>288</v>
      </c>
      <c r="K15" s="8">
        <v>46</v>
      </c>
      <c r="L15" s="8">
        <f>K15</f>
        <v>46</v>
      </c>
      <c r="M15" s="8">
        <v>10</v>
      </c>
      <c r="N15" s="8">
        <f>M15</f>
        <v>10</v>
      </c>
    </row>
    <row r="16" spans="1:14" x14ac:dyDescent="0.25">
      <c r="A16" s="6">
        <v>2</v>
      </c>
      <c r="B16" s="10">
        <v>6374</v>
      </c>
      <c r="C16" s="6">
        <v>442</v>
      </c>
      <c r="D16" s="6">
        <f>C16+D15</f>
        <v>694</v>
      </c>
      <c r="E16" s="6">
        <v>543</v>
      </c>
      <c r="F16" s="6">
        <f>E16+F15</f>
        <v>831</v>
      </c>
      <c r="G16" s="6">
        <v>448</v>
      </c>
      <c r="H16" s="6">
        <f>G16+H15</f>
        <v>700</v>
      </c>
      <c r="I16" s="6">
        <v>544</v>
      </c>
      <c r="J16" s="6">
        <f>I16+J15</f>
        <v>832</v>
      </c>
      <c r="K16" s="6">
        <v>124</v>
      </c>
      <c r="L16" s="6">
        <f>K16+L15</f>
        <v>170</v>
      </c>
      <c r="M16" s="6">
        <v>28</v>
      </c>
      <c r="N16" s="6">
        <f>M16+N15</f>
        <v>38</v>
      </c>
    </row>
    <row r="17" spans="1:14" x14ac:dyDescent="0.25">
      <c r="A17" s="8">
        <v>3</v>
      </c>
      <c r="B17" s="10">
        <v>2805</v>
      </c>
      <c r="C17" s="8">
        <v>802</v>
      </c>
      <c r="D17" s="8">
        <f t="shared" ref="D17:D24" si="0">C17+D16</f>
        <v>1496</v>
      </c>
      <c r="E17" s="8">
        <v>1048</v>
      </c>
      <c r="F17" s="8">
        <f t="shared" ref="F17:F24" si="1">E17+F16</f>
        <v>1879</v>
      </c>
      <c r="G17" s="8">
        <v>813</v>
      </c>
      <c r="H17" s="8">
        <f t="shared" ref="H17:H24" si="2">G17+H16</f>
        <v>1513</v>
      </c>
      <c r="I17" s="8">
        <v>1053</v>
      </c>
      <c r="J17" s="8">
        <f t="shared" ref="J17:J24" si="3">I17+J16</f>
        <v>1885</v>
      </c>
      <c r="K17" s="8">
        <v>313</v>
      </c>
      <c r="L17" s="8">
        <f t="shared" ref="L17:L24" si="4">K17+L16</f>
        <v>483</v>
      </c>
      <c r="M17" s="8">
        <v>73</v>
      </c>
      <c r="N17" s="8">
        <f t="shared" ref="N17:N24" si="5">M17+N16</f>
        <v>111</v>
      </c>
    </row>
    <row r="18" spans="1:14" x14ac:dyDescent="0.25">
      <c r="A18" s="6">
        <v>4</v>
      </c>
      <c r="B18" s="10">
        <v>1143</v>
      </c>
      <c r="C18" s="6">
        <v>1840</v>
      </c>
      <c r="D18" s="6">
        <f t="shared" si="0"/>
        <v>3336</v>
      </c>
      <c r="E18" s="6">
        <v>2645</v>
      </c>
      <c r="F18" s="6">
        <f t="shared" si="1"/>
        <v>4524</v>
      </c>
      <c r="G18" s="6">
        <v>1861</v>
      </c>
      <c r="H18" s="6">
        <f t="shared" si="2"/>
        <v>3374</v>
      </c>
      <c r="I18" s="6">
        <v>2657</v>
      </c>
      <c r="J18" s="6">
        <f t="shared" si="3"/>
        <v>4542</v>
      </c>
      <c r="K18" s="6">
        <v>1051</v>
      </c>
      <c r="L18" s="6">
        <f t="shared" si="4"/>
        <v>1534</v>
      </c>
      <c r="M18" s="6">
        <v>255</v>
      </c>
      <c r="N18" s="6">
        <f t="shared" si="5"/>
        <v>366</v>
      </c>
    </row>
    <row r="19" spans="1:14" x14ac:dyDescent="0.25">
      <c r="A19" s="8">
        <v>5</v>
      </c>
      <c r="B19" s="10">
        <v>269</v>
      </c>
      <c r="C19" s="8">
        <v>6005</v>
      </c>
      <c r="D19" s="8">
        <f t="shared" si="0"/>
        <v>9341</v>
      </c>
      <c r="E19" s="8">
        <v>9358</v>
      </c>
      <c r="F19" s="8">
        <f t="shared" si="1"/>
        <v>13882</v>
      </c>
      <c r="G19" s="8">
        <v>6084</v>
      </c>
      <c r="H19" s="8">
        <f t="shared" si="2"/>
        <v>9458</v>
      </c>
      <c r="I19" s="8">
        <v>9376</v>
      </c>
      <c r="J19" s="8">
        <f t="shared" si="3"/>
        <v>13918</v>
      </c>
      <c r="K19" s="8">
        <v>4508</v>
      </c>
      <c r="L19" s="8">
        <f t="shared" si="4"/>
        <v>6042</v>
      </c>
      <c r="M19" s="8">
        <v>1216</v>
      </c>
      <c r="N19" s="8">
        <f t="shared" si="5"/>
        <v>1582</v>
      </c>
    </row>
    <row r="20" spans="1:14" x14ac:dyDescent="0.25">
      <c r="A20" s="6">
        <v>6</v>
      </c>
      <c r="B20" s="10">
        <v>33</v>
      </c>
      <c r="C20" s="6">
        <v>11062</v>
      </c>
      <c r="D20" s="6">
        <f t="shared" si="0"/>
        <v>20403</v>
      </c>
      <c r="E20" s="6">
        <v>20625</v>
      </c>
      <c r="F20" s="6">
        <f t="shared" si="1"/>
        <v>34507</v>
      </c>
      <c r="G20" s="6">
        <v>11210</v>
      </c>
      <c r="H20" s="6">
        <f t="shared" si="2"/>
        <v>20668</v>
      </c>
      <c r="I20" s="6">
        <v>20666</v>
      </c>
      <c r="J20" s="6">
        <f t="shared" si="3"/>
        <v>34584</v>
      </c>
      <c r="K20" s="6">
        <v>14367</v>
      </c>
      <c r="L20" s="6">
        <f t="shared" si="4"/>
        <v>20409</v>
      </c>
      <c r="M20" s="6">
        <v>4911</v>
      </c>
      <c r="N20" s="6">
        <f t="shared" si="5"/>
        <v>6493</v>
      </c>
    </row>
    <row r="21" spans="1:14" x14ac:dyDescent="0.25">
      <c r="A21" s="8">
        <v>7</v>
      </c>
      <c r="B21" s="10">
        <v>7</v>
      </c>
      <c r="C21" s="8">
        <v>5104</v>
      </c>
      <c r="D21" s="8">
        <f t="shared" si="0"/>
        <v>25507</v>
      </c>
      <c r="E21" s="8">
        <v>13272</v>
      </c>
      <c r="F21" s="8">
        <f t="shared" si="1"/>
        <v>47779</v>
      </c>
      <c r="G21" s="8">
        <v>5144</v>
      </c>
      <c r="H21" s="8">
        <f t="shared" si="2"/>
        <v>25812</v>
      </c>
      <c r="I21" s="8">
        <v>13303</v>
      </c>
      <c r="J21" s="8">
        <f t="shared" si="3"/>
        <v>47887</v>
      </c>
      <c r="K21" s="8">
        <v>14812</v>
      </c>
      <c r="L21" s="8">
        <f t="shared" si="4"/>
        <v>35221</v>
      </c>
      <c r="M21" s="8">
        <v>6653</v>
      </c>
      <c r="N21" s="8">
        <f t="shared" si="5"/>
        <v>13146</v>
      </c>
    </row>
    <row r="22" spans="1:14" x14ac:dyDescent="0.25">
      <c r="A22" s="6">
        <v>8</v>
      </c>
      <c r="B22" s="10">
        <v>4</v>
      </c>
      <c r="C22" s="6">
        <v>933</v>
      </c>
      <c r="D22" s="6">
        <f t="shared" si="0"/>
        <v>26440</v>
      </c>
      <c r="E22" s="6">
        <v>3011</v>
      </c>
      <c r="F22" s="6">
        <f t="shared" si="1"/>
        <v>50790</v>
      </c>
      <c r="G22" s="6">
        <v>944</v>
      </c>
      <c r="H22" s="6">
        <f t="shared" si="2"/>
        <v>26756</v>
      </c>
      <c r="I22" s="6">
        <v>3026</v>
      </c>
      <c r="J22" s="6">
        <f t="shared" si="3"/>
        <v>50913</v>
      </c>
      <c r="K22" s="6">
        <v>4870</v>
      </c>
      <c r="L22" s="6">
        <f t="shared" si="4"/>
        <v>40091</v>
      </c>
      <c r="M22" s="6">
        <v>2788</v>
      </c>
      <c r="N22" s="6">
        <f t="shared" si="5"/>
        <v>15934</v>
      </c>
    </row>
    <row r="23" spans="1:14" x14ac:dyDescent="0.25">
      <c r="A23" s="8">
        <v>9</v>
      </c>
      <c r="B23" s="10">
        <v>2</v>
      </c>
      <c r="C23" s="8">
        <v>2724</v>
      </c>
      <c r="D23" s="8">
        <f t="shared" si="0"/>
        <v>29164</v>
      </c>
      <c r="E23" s="8">
        <v>8431</v>
      </c>
      <c r="F23" s="8">
        <f t="shared" si="1"/>
        <v>59221</v>
      </c>
      <c r="G23" s="8">
        <v>2774</v>
      </c>
      <c r="H23" s="8">
        <f t="shared" si="2"/>
        <v>29530</v>
      </c>
      <c r="I23" s="8">
        <v>8460</v>
      </c>
      <c r="J23" s="8">
        <f t="shared" si="3"/>
        <v>59373</v>
      </c>
      <c r="K23" s="8">
        <v>9832</v>
      </c>
      <c r="L23" s="8">
        <f t="shared" si="4"/>
        <v>49923</v>
      </c>
      <c r="M23" s="8">
        <v>4146</v>
      </c>
      <c r="N23" s="8">
        <f t="shared" si="5"/>
        <v>20080</v>
      </c>
    </row>
    <row r="24" spans="1:14" x14ac:dyDescent="0.25">
      <c r="A24" s="6">
        <v>10</v>
      </c>
      <c r="B24" s="10">
        <v>1</v>
      </c>
      <c r="C24" s="6">
        <v>2835</v>
      </c>
      <c r="D24" s="6">
        <f t="shared" si="0"/>
        <v>31999</v>
      </c>
      <c r="E24" s="6">
        <v>6000</v>
      </c>
      <c r="F24" s="6">
        <f t="shared" si="1"/>
        <v>65221</v>
      </c>
      <c r="G24" s="6">
        <v>2908</v>
      </c>
      <c r="H24" s="6">
        <f t="shared" si="2"/>
        <v>32438</v>
      </c>
      <c r="I24" s="6">
        <v>6028</v>
      </c>
      <c r="J24" s="6">
        <f t="shared" si="3"/>
        <v>65401</v>
      </c>
      <c r="K24" s="6">
        <v>4950</v>
      </c>
      <c r="L24" s="6">
        <f t="shared" si="4"/>
        <v>54873</v>
      </c>
      <c r="M24" s="6">
        <v>1830</v>
      </c>
      <c r="N24" s="6">
        <f t="shared" si="5"/>
        <v>21910</v>
      </c>
    </row>
    <row r="25" spans="1:14" x14ac:dyDescent="0.25">
      <c r="A25" s="7" t="s">
        <v>0</v>
      </c>
      <c r="B25" s="7"/>
      <c r="C25" s="7">
        <f>SUM(C15:C24)</f>
        <v>31999</v>
      </c>
      <c r="D25" s="7"/>
      <c r="E25" s="7">
        <f>SUM(E15:E24)</f>
        <v>65221</v>
      </c>
      <c r="F25" s="7"/>
      <c r="G25" s="7">
        <f>SUM(G15:G24)</f>
        <v>32438</v>
      </c>
      <c r="H25" s="7"/>
      <c r="I25" s="7">
        <f>SUM(I15:I24)</f>
        <v>65401</v>
      </c>
      <c r="J25" s="7"/>
      <c r="K25" s="7">
        <f>SUM(K15:K24)</f>
        <v>54873</v>
      </c>
      <c r="L25" s="7"/>
      <c r="M25" s="7">
        <f>SUM(M15:M24)</f>
        <v>21910</v>
      </c>
      <c r="N25" s="7"/>
    </row>
    <row r="30" spans="1:14" s="4" customFormat="1" x14ac:dyDescent="0.25"/>
    <row r="36" spans="1:14" x14ac:dyDescent="0.25">
      <c r="A36" s="1" t="s">
        <v>14</v>
      </c>
      <c r="B36" s="1"/>
      <c r="C36" s="1"/>
      <c r="D36" s="1"/>
      <c r="E36" s="1"/>
    </row>
    <row r="38" spans="1:14" x14ac:dyDescent="0.25">
      <c r="A38" s="11"/>
      <c r="B38" s="13"/>
      <c r="C38" s="5"/>
      <c r="D38" s="5"/>
      <c r="E38" s="5" t="s">
        <v>15</v>
      </c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5"/>
      <c r="B39" s="5"/>
      <c r="C39" s="11" t="s">
        <v>6</v>
      </c>
      <c r="D39" s="13"/>
      <c r="E39" s="11" t="s">
        <v>4</v>
      </c>
      <c r="F39" s="13"/>
      <c r="G39" s="11" t="s">
        <v>7</v>
      </c>
      <c r="H39" s="13"/>
      <c r="I39" s="11" t="s">
        <v>5</v>
      </c>
      <c r="J39" s="13"/>
      <c r="K39" s="11" t="s">
        <v>8</v>
      </c>
      <c r="L39" s="13"/>
      <c r="M39" s="5" t="s">
        <v>9</v>
      </c>
      <c r="N39" s="5"/>
    </row>
    <row r="40" spans="1:14" x14ac:dyDescent="0.25">
      <c r="A40" s="5" t="s">
        <v>2</v>
      </c>
      <c r="B40" s="5" t="s">
        <v>18</v>
      </c>
      <c r="C40" s="5" t="s">
        <v>1</v>
      </c>
      <c r="D40" s="5" t="s">
        <v>17</v>
      </c>
      <c r="E40" s="5" t="s">
        <v>1</v>
      </c>
      <c r="F40" s="5" t="s">
        <v>17</v>
      </c>
      <c r="G40" s="5" t="s">
        <v>1</v>
      </c>
      <c r="H40" s="5" t="s">
        <v>17</v>
      </c>
      <c r="I40" s="5" t="s">
        <v>1</v>
      </c>
      <c r="J40" s="5" t="s">
        <v>17</v>
      </c>
      <c r="K40" s="5" t="s">
        <v>1</v>
      </c>
      <c r="L40" s="5" t="s">
        <v>17</v>
      </c>
      <c r="M40" s="5" t="s">
        <v>1</v>
      </c>
      <c r="N40" s="5" t="s">
        <v>17</v>
      </c>
    </row>
    <row r="41" spans="1:14" x14ac:dyDescent="0.25">
      <c r="A41" s="8">
        <v>1</v>
      </c>
      <c r="B41" s="9">
        <v>13313</v>
      </c>
      <c r="C41" s="8">
        <v>252</v>
      </c>
      <c r="D41" s="8">
        <f>C41</f>
        <v>252</v>
      </c>
      <c r="E41" s="8">
        <v>287</v>
      </c>
      <c r="F41" s="8">
        <f>E41</f>
        <v>287</v>
      </c>
      <c r="G41" s="8">
        <v>252</v>
      </c>
      <c r="H41" s="8">
        <f>G41</f>
        <v>252</v>
      </c>
      <c r="I41" s="8">
        <v>287</v>
      </c>
      <c r="J41" s="8">
        <f>I41</f>
        <v>287</v>
      </c>
      <c r="K41" s="8">
        <v>45</v>
      </c>
      <c r="L41" s="8">
        <f>K41</f>
        <v>45</v>
      </c>
      <c r="M41" s="8">
        <v>10</v>
      </c>
      <c r="N41" s="8">
        <f>M41</f>
        <v>10</v>
      </c>
    </row>
    <row r="42" spans="1:14" x14ac:dyDescent="0.25">
      <c r="A42" s="6">
        <v>2</v>
      </c>
      <c r="B42" s="10">
        <v>6374</v>
      </c>
      <c r="C42" s="6">
        <v>442</v>
      </c>
      <c r="D42" s="6">
        <f>C42+D41</f>
        <v>694</v>
      </c>
      <c r="E42" s="6">
        <v>539</v>
      </c>
      <c r="F42" s="6">
        <f>E42+F41</f>
        <v>826</v>
      </c>
      <c r="G42" s="6">
        <v>448</v>
      </c>
      <c r="H42" s="6">
        <f>G42+H41</f>
        <v>700</v>
      </c>
      <c r="I42" s="6">
        <v>540</v>
      </c>
      <c r="J42" s="6">
        <f>I42+J41</f>
        <v>827</v>
      </c>
      <c r="K42" s="6">
        <v>120</v>
      </c>
      <c r="L42" s="6">
        <f>K42+L41</f>
        <v>165</v>
      </c>
      <c r="M42" s="6">
        <v>28</v>
      </c>
      <c r="N42" s="6">
        <f>M42+N41</f>
        <v>38</v>
      </c>
    </row>
    <row r="43" spans="1:14" x14ac:dyDescent="0.25">
      <c r="A43" s="8">
        <v>3</v>
      </c>
      <c r="B43" s="10">
        <v>2805</v>
      </c>
      <c r="C43" s="8">
        <v>797</v>
      </c>
      <c r="D43" s="8">
        <f t="shared" ref="D43:D50" si="6">C43+D42</f>
        <v>1491</v>
      </c>
      <c r="E43" s="8">
        <v>1035</v>
      </c>
      <c r="F43" s="8">
        <f t="shared" ref="F43:F50" si="7">E43+F42</f>
        <v>1861</v>
      </c>
      <c r="G43" s="8">
        <v>807</v>
      </c>
      <c r="H43" s="8">
        <f t="shared" ref="H43:H50" si="8">G43+H42</f>
        <v>1507</v>
      </c>
      <c r="I43" s="8">
        <v>1040</v>
      </c>
      <c r="J43" s="8">
        <f t="shared" ref="J43:J50" si="9">I43+J42</f>
        <v>1867</v>
      </c>
      <c r="K43" s="8">
        <v>303</v>
      </c>
      <c r="L43" s="8">
        <f t="shared" ref="L43:L50" si="10">K43+L42</f>
        <v>468</v>
      </c>
      <c r="M43" s="8">
        <v>70</v>
      </c>
      <c r="N43" s="8">
        <f t="shared" ref="N43:N50" si="11">M43+N42</f>
        <v>108</v>
      </c>
    </row>
    <row r="44" spans="1:14" x14ac:dyDescent="0.25">
      <c r="A44" s="6">
        <v>4</v>
      </c>
      <c r="B44" s="10">
        <v>1143</v>
      </c>
      <c r="C44" s="6">
        <v>1825</v>
      </c>
      <c r="D44" s="6">
        <f t="shared" si="6"/>
        <v>3316</v>
      </c>
      <c r="E44" s="6">
        <v>2601</v>
      </c>
      <c r="F44" s="6">
        <f t="shared" si="7"/>
        <v>4462</v>
      </c>
      <c r="G44" s="6">
        <v>1846</v>
      </c>
      <c r="H44" s="6">
        <f t="shared" si="8"/>
        <v>3353</v>
      </c>
      <c r="I44" s="6">
        <v>2613</v>
      </c>
      <c r="J44" s="6">
        <f t="shared" si="9"/>
        <v>4480</v>
      </c>
      <c r="K44" s="6">
        <v>1009</v>
      </c>
      <c r="L44" s="6">
        <f t="shared" si="10"/>
        <v>1477</v>
      </c>
      <c r="M44" s="6">
        <v>242</v>
      </c>
      <c r="N44" s="6">
        <f t="shared" si="11"/>
        <v>350</v>
      </c>
    </row>
    <row r="45" spans="1:14" x14ac:dyDescent="0.25">
      <c r="A45" s="8">
        <v>5</v>
      </c>
      <c r="B45" s="10">
        <v>269</v>
      </c>
      <c r="C45" s="8">
        <v>5965</v>
      </c>
      <c r="D45" s="8">
        <f t="shared" si="6"/>
        <v>9281</v>
      </c>
      <c r="E45" s="8">
        <v>9186</v>
      </c>
      <c r="F45" s="8">
        <f t="shared" si="7"/>
        <v>13648</v>
      </c>
      <c r="G45" s="8">
        <v>6043</v>
      </c>
      <c r="H45" s="8">
        <f t="shared" si="8"/>
        <v>9396</v>
      </c>
      <c r="I45" s="8">
        <v>9204</v>
      </c>
      <c r="J45" s="8">
        <f t="shared" si="9"/>
        <v>13684</v>
      </c>
      <c r="K45" s="8">
        <v>4327</v>
      </c>
      <c r="L45" s="8">
        <f t="shared" si="10"/>
        <v>5804</v>
      </c>
      <c r="M45" s="8">
        <v>1166</v>
      </c>
      <c r="N45" s="8">
        <f t="shared" si="11"/>
        <v>1516</v>
      </c>
    </row>
    <row r="46" spans="1:14" x14ac:dyDescent="0.25">
      <c r="A46" s="6">
        <v>6</v>
      </c>
      <c r="B46" s="10">
        <v>33</v>
      </c>
      <c r="C46" s="6">
        <v>10802</v>
      </c>
      <c r="D46" s="6">
        <f t="shared" si="6"/>
        <v>20083</v>
      </c>
      <c r="E46" s="6">
        <v>19942</v>
      </c>
      <c r="F46" s="6">
        <f t="shared" si="7"/>
        <v>33590</v>
      </c>
      <c r="G46" s="6">
        <v>10949</v>
      </c>
      <c r="H46" s="6">
        <f t="shared" si="8"/>
        <v>20345</v>
      </c>
      <c r="I46" s="6">
        <v>19981</v>
      </c>
      <c r="J46" s="6">
        <f t="shared" si="9"/>
        <v>33665</v>
      </c>
      <c r="K46" s="6">
        <v>13526</v>
      </c>
      <c r="L46" s="6">
        <f t="shared" si="10"/>
        <v>19330</v>
      </c>
      <c r="M46" s="6">
        <v>4494</v>
      </c>
      <c r="N46" s="6">
        <f t="shared" si="11"/>
        <v>6010</v>
      </c>
    </row>
    <row r="47" spans="1:14" x14ac:dyDescent="0.25">
      <c r="A47" s="8">
        <v>7</v>
      </c>
      <c r="B47" s="10">
        <v>7</v>
      </c>
      <c r="C47" s="8">
        <v>4828</v>
      </c>
      <c r="D47" s="8">
        <f t="shared" si="6"/>
        <v>24911</v>
      </c>
      <c r="E47" s="8">
        <v>12195</v>
      </c>
      <c r="F47" s="8">
        <f t="shared" si="7"/>
        <v>45785</v>
      </c>
      <c r="G47" s="8">
        <v>4865</v>
      </c>
      <c r="H47" s="8">
        <f t="shared" si="8"/>
        <v>25210</v>
      </c>
      <c r="I47" s="8">
        <v>12222</v>
      </c>
      <c r="J47" s="8">
        <f t="shared" si="9"/>
        <v>45887</v>
      </c>
      <c r="K47" s="8">
        <v>13339</v>
      </c>
      <c r="L47" s="8">
        <f t="shared" si="10"/>
        <v>32669</v>
      </c>
      <c r="M47" s="8">
        <v>5982</v>
      </c>
      <c r="N47" s="8">
        <f t="shared" si="11"/>
        <v>11992</v>
      </c>
    </row>
    <row r="48" spans="1:14" x14ac:dyDescent="0.25">
      <c r="A48" s="6">
        <v>8</v>
      </c>
      <c r="B48" s="10">
        <v>4</v>
      </c>
      <c r="C48" s="6">
        <v>872</v>
      </c>
      <c r="D48" s="6">
        <f t="shared" si="6"/>
        <v>25783</v>
      </c>
      <c r="E48" s="6">
        <v>2693</v>
      </c>
      <c r="F48" s="6">
        <f t="shared" si="7"/>
        <v>48478</v>
      </c>
      <c r="G48" s="6">
        <v>883</v>
      </c>
      <c r="H48" s="6">
        <f t="shared" si="8"/>
        <v>26093</v>
      </c>
      <c r="I48" s="6">
        <v>2704</v>
      </c>
      <c r="J48" s="6">
        <f t="shared" si="9"/>
        <v>48591</v>
      </c>
      <c r="K48" s="6">
        <v>4158</v>
      </c>
      <c r="L48" s="6">
        <f t="shared" si="10"/>
        <v>36827</v>
      </c>
      <c r="M48" s="6">
        <v>2337</v>
      </c>
      <c r="N48" s="6">
        <f t="shared" si="11"/>
        <v>14329</v>
      </c>
    </row>
    <row r="49" spans="1:14" x14ac:dyDescent="0.25">
      <c r="A49" s="8">
        <v>9</v>
      </c>
      <c r="B49" s="10">
        <v>2</v>
      </c>
      <c r="C49" s="8">
        <v>2661</v>
      </c>
      <c r="D49" s="8">
        <f t="shared" si="6"/>
        <v>28444</v>
      </c>
      <c r="E49" s="8">
        <v>7862</v>
      </c>
      <c r="F49" s="8">
        <f t="shared" si="7"/>
        <v>56340</v>
      </c>
      <c r="G49" s="8">
        <v>2708</v>
      </c>
      <c r="H49" s="8">
        <f t="shared" si="8"/>
        <v>28801</v>
      </c>
      <c r="I49" s="8">
        <v>7891</v>
      </c>
      <c r="J49" s="8">
        <f t="shared" si="9"/>
        <v>56482</v>
      </c>
      <c r="K49" s="8">
        <v>9008</v>
      </c>
      <c r="L49" s="8">
        <f t="shared" si="10"/>
        <v>45835</v>
      </c>
      <c r="M49" s="8">
        <v>3825</v>
      </c>
      <c r="N49" s="8">
        <f t="shared" si="11"/>
        <v>18154</v>
      </c>
    </row>
    <row r="50" spans="1:14" x14ac:dyDescent="0.25">
      <c r="A50" s="6">
        <v>10</v>
      </c>
      <c r="B50" s="10">
        <v>1</v>
      </c>
      <c r="C50" s="6">
        <v>2811</v>
      </c>
      <c r="D50" s="6">
        <f t="shared" si="6"/>
        <v>31255</v>
      </c>
      <c r="E50" s="6">
        <v>5850</v>
      </c>
      <c r="F50" s="6">
        <f t="shared" si="7"/>
        <v>62190</v>
      </c>
      <c r="G50" s="6">
        <v>2884</v>
      </c>
      <c r="H50" s="6">
        <f t="shared" si="8"/>
        <v>31685</v>
      </c>
      <c r="I50" s="6">
        <v>5876</v>
      </c>
      <c r="J50" s="6">
        <f t="shared" si="9"/>
        <v>62358</v>
      </c>
      <c r="K50" s="6">
        <v>4758</v>
      </c>
      <c r="L50" s="6">
        <f t="shared" si="10"/>
        <v>50593</v>
      </c>
      <c r="M50" s="6">
        <v>1766</v>
      </c>
      <c r="N50" s="6">
        <f t="shared" si="11"/>
        <v>19920</v>
      </c>
    </row>
    <row r="51" spans="1:14" x14ac:dyDescent="0.25">
      <c r="A51" s="7" t="s">
        <v>0</v>
      </c>
      <c r="B51" s="7"/>
      <c r="C51" s="7">
        <f>SUM(C41:C50)</f>
        <v>31255</v>
      </c>
      <c r="D51" s="7"/>
      <c r="E51" s="7">
        <f>SUM(E41:E50)</f>
        <v>62190</v>
      </c>
      <c r="F51" s="7"/>
      <c r="G51" s="7">
        <f>SUM(G41:G50)</f>
        <v>31685</v>
      </c>
      <c r="H51" s="7"/>
      <c r="I51" s="7">
        <f>SUM(I41:I50)</f>
        <v>62358</v>
      </c>
      <c r="J51" s="7"/>
      <c r="K51" s="7">
        <f>SUM(K41:K50)</f>
        <v>50593</v>
      </c>
      <c r="L51" s="7"/>
      <c r="M51" s="7">
        <f>SUM(M41:M50)</f>
        <v>19920</v>
      </c>
      <c r="N51" s="7"/>
    </row>
  </sheetData>
  <mergeCells count="12">
    <mergeCell ref="K39:L39"/>
    <mergeCell ref="C12:N12"/>
    <mergeCell ref="C13:D13"/>
    <mergeCell ref="E13:F13"/>
    <mergeCell ref="G13:H13"/>
    <mergeCell ref="I13:J13"/>
    <mergeCell ref="K13:L13"/>
    <mergeCell ref="A38:B38"/>
    <mergeCell ref="C39:D39"/>
    <mergeCell ref="E39:F39"/>
    <mergeCell ref="G39:H39"/>
    <mergeCell ref="I39:J39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5FDE-E49C-4FC3-9E7F-8DE4BBBB3490}">
  <dimension ref="A5:J54"/>
  <sheetViews>
    <sheetView tabSelected="1" zoomScale="85" zoomScaleNormal="85" workbookViewId="0">
      <selection activeCell="M28" sqref="M28"/>
    </sheetView>
  </sheetViews>
  <sheetFormatPr baseColWidth="10" defaultRowHeight="15" x14ac:dyDescent="0.25"/>
  <cols>
    <col min="1" max="1" width="20" bestFit="1" customWidth="1"/>
    <col min="2" max="2" width="21" bestFit="1" customWidth="1"/>
    <col min="3" max="3" width="7.7109375" bestFit="1" customWidth="1"/>
    <col min="4" max="4" width="9.7109375" bestFit="1" customWidth="1"/>
    <col min="5" max="5" width="7.7109375" bestFit="1" customWidth="1"/>
    <col min="6" max="6" width="9.7109375" bestFit="1" customWidth="1"/>
    <col min="7" max="7" width="7.7109375" bestFit="1" customWidth="1"/>
    <col min="8" max="8" width="9.7109375" bestFit="1" customWidth="1"/>
    <col min="9" max="9" width="7.7109375" bestFit="1" customWidth="1"/>
    <col min="10" max="10" width="9.7109375" bestFit="1" customWidth="1"/>
  </cols>
  <sheetData>
    <row r="5" spans="1:10" x14ac:dyDescent="0.25">
      <c r="A5" s="2" t="s">
        <v>10</v>
      </c>
      <c r="B5" t="s">
        <v>13</v>
      </c>
    </row>
    <row r="6" spans="1:10" x14ac:dyDescent="0.25">
      <c r="A6" s="2" t="s">
        <v>11</v>
      </c>
      <c r="B6" t="str">
        <f ca="1">LEFT(MID(CELL("Dateiname",A1),FIND("[",CELL("Dateiname",A1))+1,FIND("]",CELL("Dateiname",A1))-FIND("[",CELL("Dateiname",A1))-1),14)</f>
        <v>2025-11-24-127</v>
      </c>
    </row>
    <row r="7" spans="1:10" x14ac:dyDescent="0.25">
      <c r="A7" s="2" t="s">
        <v>12</v>
      </c>
      <c r="B7" s="3">
        <f ca="1">TODAY()</f>
        <v>45999</v>
      </c>
      <c r="C7" s="3"/>
    </row>
    <row r="10" spans="1:10" x14ac:dyDescent="0.25">
      <c r="A10" s="1" t="s">
        <v>3</v>
      </c>
      <c r="B10" s="1"/>
      <c r="C10" s="1"/>
      <c r="D10" s="1"/>
      <c r="E10" s="1"/>
      <c r="F10" s="1"/>
      <c r="G10" s="1"/>
      <c r="H10" s="1"/>
      <c r="I10" s="1"/>
    </row>
    <row r="12" spans="1:10" x14ac:dyDescent="0.25">
      <c r="A12" s="5"/>
      <c r="B12" s="5"/>
      <c r="C12" s="11" t="s">
        <v>15</v>
      </c>
      <c r="D12" s="12"/>
      <c r="E12" s="12"/>
      <c r="F12" s="12"/>
      <c r="G12" s="12"/>
      <c r="H12" s="12"/>
      <c r="I12" s="12"/>
      <c r="J12" s="13"/>
    </row>
    <row r="13" spans="1:10" x14ac:dyDescent="0.25">
      <c r="A13" s="5"/>
      <c r="B13" s="5"/>
      <c r="C13" s="11" t="s">
        <v>6</v>
      </c>
      <c r="D13" s="13"/>
      <c r="E13" s="11" t="s">
        <v>4</v>
      </c>
      <c r="F13" s="13"/>
      <c r="G13" s="11" t="s">
        <v>7</v>
      </c>
      <c r="H13" s="13"/>
      <c r="I13" s="5" t="s">
        <v>5</v>
      </c>
      <c r="J13" s="5"/>
    </row>
    <row r="14" spans="1:10" x14ac:dyDescent="0.25">
      <c r="A14" s="5" t="s">
        <v>2</v>
      </c>
      <c r="B14" s="5" t="s">
        <v>18</v>
      </c>
      <c r="C14" s="5" t="s">
        <v>1</v>
      </c>
      <c r="D14" s="5" t="s">
        <v>17</v>
      </c>
      <c r="E14" s="5" t="s">
        <v>1</v>
      </c>
      <c r="F14" s="5" t="s">
        <v>17</v>
      </c>
      <c r="G14" s="5" t="s">
        <v>1</v>
      </c>
      <c r="H14" s="5" t="s">
        <v>17</v>
      </c>
      <c r="I14" s="5" t="s">
        <v>1</v>
      </c>
      <c r="J14" s="5" t="s">
        <v>17</v>
      </c>
    </row>
    <row r="15" spans="1:10" x14ac:dyDescent="0.25">
      <c r="A15" s="8">
        <v>1</v>
      </c>
      <c r="B15" s="9">
        <v>13313</v>
      </c>
      <c r="C15" s="8">
        <v>275</v>
      </c>
      <c r="D15" s="8">
        <f>C15</f>
        <v>275</v>
      </c>
      <c r="E15" s="8">
        <v>315</v>
      </c>
      <c r="F15" s="8">
        <f>E15</f>
        <v>315</v>
      </c>
      <c r="G15" s="8">
        <v>301</v>
      </c>
      <c r="H15" s="8">
        <f>G15</f>
        <v>301</v>
      </c>
      <c r="I15" s="8">
        <v>347</v>
      </c>
      <c r="J15" s="8">
        <f>I15</f>
        <v>347</v>
      </c>
    </row>
    <row r="16" spans="1:10" x14ac:dyDescent="0.25">
      <c r="A16" s="6">
        <v>2</v>
      </c>
      <c r="B16" s="10">
        <v>6374</v>
      </c>
      <c r="C16" s="6">
        <v>488</v>
      </c>
      <c r="D16" s="6">
        <f>C16+D15</f>
        <v>763</v>
      </c>
      <c r="E16" s="6">
        <v>609</v>
      </c>
      <c r="F16" s="6">
        <f>E16+F15</f>
        <v>924</v>
      </c>
      <c r="G16" s="6">
        <v>534</v>
      </c>
      <c r="H16" s="6">
        <f>G16+H15</f>
        <v>835</v>
      </c>
      <c r="I16" s="6">
        <v>668</v>
      </c>
      <c r="J16" s="6">
        <f>I16+J15</f>
        <v>1015</v>
      </c>
    </row>
    <row r="17" spans="1:10" x14ac:dyDescent="0.25">
      <c r="A17" s="8">
        <v>3</v>
      </c>
      <c r="B17" s="10">
        <v>2805</v>
      </c>
      <c r="C17" s="8">
        <v>917</v>
      </c>
      <c r="D17" s="8">
        <f t="shared" ref="D17:D24" si="0">C17+D16</f>
        <v>1680</v>
      </c>
      <c r="E17" s="8">
        <v>1224</v>
      </c>
      <c r="F17" s="8">
        <f t="shared" ref="F17:F24" si="1">E17+F16</f>
        <v>2148</v>
      </c>
      <c r="G17" s="8">
        <v>1007</v>
      </c>
      <c r="H17" s="8">
        <f t="shared" ref="H17:H24" si="2">G17+H16</f>
        <v>1842</v>
      </c>
      <c r="I17" s="8">
        <v>1361</v>
      </c>
      <c r="J17" s="8">
        <f t="shared" ref="J17:J24" si="3">I17+J16</f>
        <v>2376</v>
      </c>
    </row>
    <row r="18" spans="1:10" x14ac:dyDescent="0.25">
      <c r="A18" s="6">
        <v>4</v>
      </c>
      <c r="B18" s="10">
        <v>1143</v>
      </c>
      <c r="C18" s="6">
        <v>2192</v>
      </c>
      <c r="D18" s="6">
        <f t="shared" si="0"/>
        <v>3872</v>
      </c>
      <c r="E18" s="6">
        <v>3211</v>
      </c>
      <c r="F18" s="6">
        <f t="shared" si="1"/>
        <v>5359</v>
      </c>
      <c r="G18" s="6">
        <v>2401</v>
      </c>
      <c r="H18" s="6">
        <f t="shared" si="2"/>
        <v>4243</v>
      </c>
      <c r="I18" s="6">
        <v>3565</v>
      </c>
      <c r="J18" s="6">
        <f t="shared" si="3"/>
        <v>5941</v>
      </c>
    </row>
    <row r="19" spans="1:10" x14ac:dyDescent="0.25">
      <c r="A19" s="8">
        <v>5</v>
      </c>
      <c r="B19" s="10">
        <v>269</v>
      </c>
      <c r="C19" s="8">
        <v>7594</v>
      </c>
      <c r="D19" s="8">
        <f t="shared" si="0"/>
        <v>11466</v>
      </c>
      <c r="E19" s="8">
        <v>12564</v>
      </c>
      <c r="F19" s="8">
        <f t="shared" si="1"/>
        <v>17923</v>
      </c>
      <c r="G19" s="8">
        <v>8700</v>
      </c>
      <c r="H19" s="8">
        <f t="shared" si="2"/>
        <v>12943</v>
      </c>
      <c r="I19" s="8">
        <v>14478</v>
      </c>
      <c r="J19" s="8">
        <f t="shared" si="3"/>
        <v>20419</v>
      </c>
    </row>
    <row r="20" spans="1:10" x14ac:dyDescent="0.25">
      <c r="A20" s="6">
        <v>6</v>
      </c>
      <c r="B20" s="10">
        <v>33</v>
      </c>
      <c r="C20" s="6">
        <v>17772</v>
      </c>
      <c r="D20" s="6">
        <f t="shared" si="0"/>
        <v>29238</v>
      </c>
      <c r="E20" s="6">
        <v>38143</v>
      </c>
      <c r="F20" s="6">
        <f t="shared" si="1"/>
        <v>56066</v>
      </c>
      <c r="G20" s="6">
        <v>20855</v>
      </c>
      <c r="H20" s="6">
        <f t="shared" si="2"/>
        <v>33798</v>
      </c>
      <c r="I20" s="6">
        <v>44924</v>
      </c>
      <c r="J20" s="6">
        <f t="shared" si="3"/>
        <v>65343</v>
      </c>
    </row>
    <row r="21" spans="1:10" x14ac:dyDescent="0.25">
      <c r="A21" s="8">
        <v>7</v>
      </c>
      <c r="B21" s="10">
        <v>7</v>
      </c>
      <c r="C21" s="8">
        <v>12752</v>
      </c>
      <c r="D21" s="8">
        <f t="shared" si="0"/>
        <v>41990</v>
      </c>
      <c r="E21" s="8">
        <v>38285</v>
      </c>
      <c r="F21" s="8">
        <f t="shared" si="1"/>
        <v>94351</v>
      </c>
      <c r="G21" s="8">
        <v>14367</v>
      </c>
      <c r="H21" s="8">
        <f t="shared" si="2"/>
        <v>48165</v>
      </c>
      <c r="I21" s="8">
        <v>44931</v>
      </c>
      <c r="J21" s="8">
        <f t="shared" si="3"/>
        <v>110274</v>
      </c>
    </row>
    <row r="22" spans="1:10" x14ac:dyDescent="0.25">
      <c r="A22" s="6">
        <v>8</v>
      </c>
      <c r="B22" s="10">
        <v>4</v>
      </c>
      <c r="C22" s="6">
        <v>17281</v>
      </c>
      <c r="D22" s="6">
        <f t="shared" si="0"/>
        <v>59271</v>
      </c>
      <c r="E22" s="6">
        <v>72450</v>
      </c>
      <c r="F22" s="6">
        <f t="shared" si="1"/>
        <v>166801</v>
      </c>
      <c r="G22" s="6">
        <v>20391</v>
      </c>
      <c r="H22" s="6">
        <f t="shared" si="2"/>
        <v>68556</v>
      </c>
      <c r="I22" s="6">
        <v>88481</v>
      </c>
      <c r="J22" s="6">
        <f t="shared" si="3"/>
        <v>198755</v>
      </c>
    </row>
    <row r="23" spans="1:10" x14ac:dyDescent="0.25">
      <c r="A23" s="8">
        <v>9</v>
      </c>
      <c r="B23" s="10">
        <v>2</v>
      </c>
      <c r="C23" s="8">
        <v>12900</v>
      </c>
      <c r="D23" s="8">
        <f t="shared" si="0"/>
        <v>72171</v>
      </c>
      <c r="E23" s="8">
        <v>36822</v>
      </c>
      <c r="F23" s="8">
        <f t="shared" si="1"/>
        <v>203623</v>
      </c>
      <c r="G23" s="8">
        <v>14818</v>
      </c>
      <c r="H23" s="8">
        <f t="shared" si="2"/>
        <v>83374</v>
      </c>
      <c r="I23" s="8">
        <v>45034</v>
      </c>
      <c r="J23" s="8">
        <f t="shared" si="3"/>
        <v>243789</v>
      </c>
    </row>
    <row r="24" spans="1:10" x14ac:dyDescent="0.25">
      <c r="A24" s="6">
        <v>10</v>
      </c>
      <c r="B24" s="10">
        <v>1</v>
      </c>
      <c r="C24" s="6">
        <v>50437</v>
      </c>
      <c r="D24" s="6">
        <f t="shared" si="0"/>
        <v>122608</v>
      </c>
      <c r="E24" s="6">
        <v>156416</v>
      </c>
      <c r="F24" s="6">
        <f t="shared" si="1"/>
        <v>360039</v>
      </c>
      <c r="G24" s="6">
        <v>57083</v>
      </c>
      <c r="H24" s="6">
        <f t="shared" si="2"/>
        <v>140457</v>
      </c>
      <c r="I24" s="6">
        <v>182136</v>
      </c>
      <c r="J24" s="6">
        <f t="shared" si="3"/>
        <v>425925</v>
      </c>
    </row>
    <row r="25" spans="1:10" x14ac:dyDescent="0.25">
      <c r="A25" s="7" t="s">
        <v>0</v>
      </c>
      <c r="B25" s="7"/>
      <c r="C25" s="7">
        <f>SUM(C15:C24)</f>
        <v>122608</v>
      </c>
      <c r="D25" s="7"/>
      <c r="E25" s="7">
        <f>SUM(E15:E24)</f>
        <v>360039</v>
      </c>
      <c r="F25" s="7"/>
      <c r="G25" s="7">
        <f>SUM(G15:G24)</f>
        <v>140457</v>
      </c>
      <c r="H25" s="7"/>
      <c r="I25" s="7">
        <f>SUM(I15:I24)</f>
        <v>425925</v>
      </c>
      <c r="J25" s="7"/>
    </row>
    <row r="29" spans="1:10" s="4" customFormat="1" x14ac:dyDescent="0.25"/>
    <row r="38" spans="1:10" x14ac:dyDescent="0.25">
      <c r="A38" s="1" t="s">
        <v>14</v>
      </c>
    </row>
    <row r="41" spans="1:10" x14ac:dyDescent="0.25">
      <c r="A41" s="5"/>
      <c r="B41" s="5"/>
      <c r="C41" s="11" t="s">
        <v>15</v>
      </c>
      <c r="D41" s="12"/>
      <c r="E41" s="12"/>
      <c r="F41" s="12"/>
      <c r="G41" s="12"/>
      <c r="H41" s="12"/>
      <c r="I41" s="12"/>
      <c r="J41" s="13"/>
    </row>
    <row r="42" spans="1:10" x14ac:dyDescent="0.25">
      <c r="A42" s="5" t="s">
        <v>2</v>
      </c>
      <c r="B42" s="5"/>
      <c r="C42" s="11" t="s">
        <v>6</v>
      </c>
      <c r="D42" s="13"/>
      <c r="E42" s="11" t="s">
        <v>4</v>
      </c>
      <c r="F42" s="13"/>
      <c r="G42" s="11" t="s">
        <v>7</v>
      </c>
      <c r="H42" s="13"/>
      <c r="I42" s="5" t="s">
        <v>5</v>
      </c>
      <c r="J42" s="5"/>
    </row>
    <row r="43" spans="1:10" x14ac:dyDescent="0.25">
      <c r="A43" s="5">
        <v>1</v>
      </c>
      <c r="B43" s="5" t="s">
        <v>18</v>
      </c>
      <c r="C43" s="5" t="s">
        <v>16</v>
      </c>
      <c r="D43" s="5" t="s">
        <v>17</v>
      </c>
      <c r="E43" s="5" t="s">
        <v>16</v>
      </c>
      <c r="F43" s="5" t="s">
        <v>17</v>
      </c>
      <c r="G43" s="5" t="s">
        <v>16</v>
      </c>
      <c r="H43" s="5" t="s">
        <v>17</v>
      </c>
      <c r="I43" s="5" t="s">
        <v>16</v>
      </c>
      <c r="J43" s="5" t="s">
        <v>17</v>
      </c>
    </row>
    <row r="44" spans="1:10" x14ac:dyDescent="0.25">
      <c r="A44" s="8">
        <v>2</v>
      </c>
      <c r="B44" s="9">
        <v>13313</v>
      </c>
      <c r="C44" s="8">
        <v>275</v>
      </c>
      <c r="D44" s="8">
        <f>C44</f>
        <v>275</v>
      </c>
      <c r="E44" s="8">
        <v>314</v>
      </c>
      <c r="F44" s="8">
        <f>E44</f>
        <v>314</v>
      </c>
      <c r="G44" s="8">
        <v>300</v>
      </c>
      <c r="H44" s="8">
        <f>G44</f>
        <v>300</v>
      </c>
      <c r="I44" s="8">
        <v>344</v>
      </c>
      <c r="J44" s="8">
        <f>I44</f>
        <v>344</v>
      </c>
    </row>
    <row r="45" spans="1:10" x14ac:dyDescent="0.25">
      <c r="A45" s="6">
        <v>3</v>
      </c>
      <c r="B45" s="10">
        <v>6374</v>
      </c>
      <c r="C45" s="6">
        <v>488</v>
      </c>
      <c r="D45" s="6">
        <f>C45+D44</f>
        <v>763</v>
      </c>
      <c r="E45" s="6">
        <v>605</v>
      </c>
      <c r="F45" s="6">
        <f>E45+F44</f>
        <v>919</v>
      </c>
      <c r="G45" s="6">
        <v>534</v>
      </c>
      <c r="H45" s="6">
        <f>G45+H44</f>
        <v>834</v>
      </c>
      <c r="I45" s="6">
        <v>664</v>
      </c>
      <c r="J45" s="6">
        <f>I45+J44</f>
        <v>1008</v>
      </c>
    </row>
    <row r="46" spans="1:10" x14ac:dyDescent="0.25">
      <c r="A46" s="8">
        <v>4</v>
      </c>
      <c r="B46" s="10">
        <v>2805</v>
      </c>
      <c r="C46" s="8">
        <v>912</v>
      </c>
      <c r="D46" s="8">
        <f t="shared" ref="D46:D53" si="4">C46+D45</f>
        <v>1675</v>
      </c>
      <c r="E46" s="8">
        <v>1211</v>
      </c>
      <c r="F46" s="8">
        <f t="shared" ref="F46:F53" si="5">E46+F45</f>
        <v>2130</v>
      </c>
      <c r="G46" s="8">
        <v>1001</v>
      </c>
      <c r="H46" s="8">
        <f t="shared" ref="H46:H53" si="6">G46+H45</f>
        <v>1835</v>
      </c>
      <c r="I46" s="8">
        <v>1348</v>
      </c>
      <c r="J46" s="8">
        <f t="shared" ref="J46:J53" si="7">I46+J45</f>
        <v>2356</v>
      </c>
    </row>
    <row r="47" spans="1:10" x14ac:dyDescent="0.25">
      <c r="A47" s="6">
        <v>5</v>
      </c>
      <c r="B47" s="10">
        <v>1143</v>
      </c>
      <c r="C47" s="6">
        <v>2176</v>
      </c>
      <c r="D47" s="6">
        <f t="shared" si="4"/>
        <v>3851</v>
      </c>
      <c r="E47" s="6">
        <v>3161</v>
      </c>
      <c r="F47" s="6">
        <f t="shared" si="5"/>
        <v>5291</v>
      </c>
      <c r="G47" s="6">
        <v>2382</v>
      </c>
      <c r="H47" s="6">
        <f t="shared" si="6"/>
        <v>4217</v>
      </c>
      <c r="I47" s="6">
        <v>3507</v>
      </c>
      <c r="J47" s="6">
        <f t="shared" si="7"/>
        <v>5863</v>
      </c>
    </row>
    <row r="48" spans="1:10" x14ac:dyDescent="0.25">
      <c r="A48" s="8">
        <v>6</v>
      </c>
      <c r="B48" s="10">
        <v>269</v>
      </c>
      <c r="C48" s="8">
        <v>7546</v>
      </c>
      <c r="D48" s="8">
        <f t="shared" si="4"/>
        <v>11397</v>
      </c>
      <c r="E48" s="8">
        <v>12345</v>
      </c>
      <c r="F48" s="8">
        <f t="shared" si="5"/>
        <v>17636</v>
      </c>
      <c r="G48" s="8">
        <v>8641</v>
      </c>
      <c r="H48" s="8">
        <f t="shared" si="6"/>
        <v>12858</v>
      </c>
      <c r="I48" s="8">
        <v>14218</v>
      </c>
      <c r="J48" s="8">
        <f t="shared" si="7"/>
        <v>20081</v>
      </c>
    </row>
    <row r="49" spans="1:10" x14ac:dyDescent="0.25">
      <c r="A49" s="6">
        <v>7</v>
      </c>
      <c r="B49" s="10">
        <v>33</v>
      </c>
      <c r="C49" s="6">
        <v>17428</v>
      </c>
      <c r="D49" s="6">
        <f t="shared" si="4"/>
        <v>28825</v>
      </c>
      <c r="E49" s="6">
        <v>37134</v>
      </c>
      <c r="F49" s="6">
        <f t="shared" si="5"/>
        <v>54770</v>
      </c>
      <c r="G49" s="6">
        <v>20446</v>
      </c>
      <c r="H49" s="6">
        <f t="shared" si="6"/>
        <v>33304</v>
      </c>
      <c r="I49" s="6">
        <v>43749</v>
      </c>
      <c r="J49" s="6">
        <f t="shared" si="7"/>
        <v>63830</v>
      </c>
    </row>
    <row r="50" spans="1:10" x14ac:dyDescent="0.25">
      <c r="A50" s="8">
        <v>8</v>
      </c>
      <c r="B50" s="10">
        <v>7</v>
      </c>
      <c r="C50" s="8">
        <v>12298</v>
      </c>
      <c r="D50" s="8">
        <f t="shared" si="4"/>
        <v>41123</v>
      </c>
      <c r="E50" s="8">
        <v>36548</v>
      </c>
      <c r="F50" s="8">
        <f t="shared" si="5"/>
        <v>91318</v>
      </c>
      <c r="G50" s="8">
        <v>13858</v>
      </c>
      <c r="H50" s="8">
        <f t="shared" si="6"/>
        <v>47162</v>
      </c>
      <c r="I50" s="8">
        <v>42936</v>
      </c>
      <c r="J50" s="8">
        <f t="shared" si="7"/>
        <v>106766</v>
      </c>
    </row>
    <row r="51" spans="1:10" x14ac:dyDescent="0.25">
      <c r="A51" s="6">
        <v>9</v>
      </c>
      <c r="B51" s="10">
        <v>4</v>
      </c>
      <c r="C51" s="6">
        <v>16414</v>
      </c>
      <c r="D51" s="6">
        <f t="shared" si="4"/>
        <v>57537</v>
      </c>
      <c r="E51" s="6">
        <v>66987</v>
      </c>
      <c r="F51" s="6">
        <f t="shared" si="5"/>
        <v>158305</v>
      </c>
      <c r="G51" s="6">
        <v>19318</v>
      </c>
      <c r="H51" s="6">
        <f t="shared" si="6"/>
        <v>66480</v>
      </c>
      <c r="I51" s="6">
        <v>82196</v>
      </c>
      <c r="J51" s="6">
        <f t="shared" si="7"/>
        <v>188962</v>
      </c>
    </row>
    <row r="52" spans="1:10" x14ac:dyDescent="0.25">
      <c r="A52" s="8">
        <v>10</v>
      </c>
      <c r="B52" s="10">
        <v>2</v>
      </c>
      <c r="C52" s="8">
        <v>12721</v>
      </c>
      <c r="D52" s="8">
        <f t="shared" si="4"/>
        <v>70258</v>
      </c>
      <c r="E52" s="8">
        <v>35561</v>
      </c>
      <c r="F52" s="8">
        <f t="shared" si="5"/>
        <v>193866</v>
      </c>
      <c r="G52" s="8">
        <v>14609</v>
      </c>
      <c r="H52" s="8">
        <f t="shared" si="6"/>
        <v>81089</v>
      </c>
      <c r="I52" s="8">
        <v>43571</v>
      </c>
      <c r="J52" s="8">
        <f t="shared" si="7"/>
        <v>232533</v>
      </c>
    </row>
    <row r="53" spans="1:10" x14ac:dyDescent="0.25">
      <c r="A53" s="6" t="s">
        <v>0</v>
      </c>
      <c r="B53" s="10">
        <v>1</v>
      </c>
      <c r="C53" s="6">
        <v>49514</v>
      </c>
      <c r="D53" s="6">
        <f t="shared" si="4"/>
        <v>119772</v>
      </c>
      <c r="E53" s="6">
        <v>150554</v>
      </c>
      <c r="F53" s="6">
        <f t="shared" si="5"/>
        <v>344420</v>
      </c>
      <c r="G53" s="6">
        <v>55968</v>
      </c>
      <c r="H53" s="6">
        <f t="shared" si="6"/>
        <v>137057</v>
      </c>
      <c r="I53" s="6">
        <v>175519</v>
      </c>
      <c r="J53" s="6">
        <f t="shared" si="7"/>
        <v>408052</v>
      </c>
    </row>
    <row r="54" spans="1:10" x14ac:dyDescent="0.25">
      <c r="A54" s="7"/>
      <c r="B54" s="7"/>
      <c r="C54" s="7">
        <f>SUM(C44:C53)</f>
        <v>119772</v>
      </c>
      <c r="D54" s="7"/>
      <c r="E54" s="7">
        <f>SUM(E44:E53)</f>
        <v>344420</v>
      </c>
      <c r="F54" s="7"/>
      <c r="G54" s="7">
        <f>SUM(G44:G53)</f>
        <v>137057</v>
      </c>
      <c r="H54" s="7"/>
      <c r="I54" s="7">
        <f>SUM(I44:I53)</f>
        <v>408052</v>
      </c>
      <c r="J54" s="7"/>
    </row>
  </sheetData>
  <mergeCells count="8">
    <mergeCell ref="C42:D42"/>
    <mergeCell ref="E42:F42"/>
    <mergeCell ref="G42:H42"/>
    <mergeCell ref="C12:J12"/>
    <mergeCell ref="C13:D13"/>
    <mergeCell ref="E13:F13"/>
    <mergeCell ref="G13:H13"/>
    <mergeCell ref="C41:J41"/>
  </mergeCells>
  <phoneticPr fontId="2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Synergie</vt:lpstr>
      <vt:lpstr>Syn012</vt:lpstr>
      <vt:lpstr>KGM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2017-02-01T12:09:41Z</dcterms:created>
  <dcterms:modified xsi:type="dcterms:W3CDTF">2025-12-08T08:48:20Z</dcterms:modified>
</cp:coreProperties>
</file>